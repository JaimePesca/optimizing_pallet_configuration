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f8ef30bff61b35b/Cloud Sabana/MIT/optimizing_pallet_configuration/"/>
    </mc:Choice>
  </mc:AlternateContent>
  <xr:revisionPtr revIDLastSave="612" documentId="11_7E4E55BF84DCCEE3ED7FF6F99031F45BFA722949" xr6:coauthVersionLast="47" xr6:coauthVersionMax="47" xr10:uidLastSave="{1BF9A8F7-5263-4E13-AA20-A5665D4642A9}"/>
  <bookViews>
    <workbookView xWindow="-108" yWindow="-108" windowWidth="23256" windowHeight="12456" xr2:uid="{00000000-000D-0000-FFFF-FFFF00000000}"/>
  </bookViews>
  <sheets>
    <sheet name="Resumen BL" sheetId="1" r:id="rId1"/>
    <sheet name="Cajas nuev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C25" i="1"/>
  <c r="C24" i="1"/>
  <c r="C22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C20" i="1"/>
  <c r="C19" i="1"/>
  <c r="C17" i="1"/>
  <c r="C15" i="1"/>
  <c r="C12" i="1"/>
  <c r="C14" i="1"/>
  <c r="D12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D14" i="1"/>
  <c r="E14" i="1"/>
  <c r="F14" i="1"/>
  <c r="G14" i="1"/>
  <c r="H14" i="1"/>
  <c r="I14" i="1"/>
  <c r="J14" i="1"/>
  <c r="L14" i="1"/>
  <c r="M14" i="1"/>
  <c r="N14" i="1"/>
  <c r="O14" i="1"/>
  <c r="P14" i="1"/>
  <c r="Q14" i="1"/>
  <c r="R14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<sst xmlns="http://schemas.openxmlformats.org/spreadsheetml/2006/main" count="400" uniqueCount="87">
  <si>
    <t>5Y-3462</t>
  </si>
  <si>
    <t>5Y-3465</t>
  </si>
  <si>
    <t>5Y-3570</t>
  </si>
  <si>
    <t>5Y-3570A</t>
  </si>
  <si>
    <t>5Y-3572</t>
  </si>
  <si>
    <t>5Y-3580</t>
  </si>
  <si>
    <t>5Y-3580A</t>
  </si>
  <si>
    <t>5Y-3582</t>
  </si>
  <si>
    <t>5Y-3586</t>
  </si>
  <si>
    <t>5Y-4570</t>
  </si>
  <si>
    <t>5Y-6572</t>
  </si>
  <si>
    <t>5Y-6576</t>
  </si>
  <si>
    <t>5Y-6680</t>
  </si>
  <si>
    <t>5Y-7688</t>
  </si>
  <si>
    <t>5Y-7734</t>
  </si>
  <si>
    <t>5Y-8780</t>
  </si>
  <si>
    <t>Vuelo</t>
  </si>
  <si>
    <t>Utilización</t>
  </si>
  <si>
    <t>Volumen</t>
  </si>
  <si>
    <t>Peso</t>
  </si>
  <si>
    <t>% Peso</t>
  </si>
  <si>
    <t>Cajas Nuevas Empacadas</t>
  </si>
  <si>
    <t># Intento Cajas nuevas</t>
  </si>
  <si>
    <t>Cajas Original</t>
  </si>
  <si>
    <t>Cantidad de referencias</t>
  </si>
  <si>
    <t>10 3 2</t>
  </si>
  <si>
    <t>7 5 1</t>
  </si>
  <si>
    <t>10 6 2</t>
  </si>
  <si>
    <t>10 3 1</t>
  </si>
  <si>
    <t>10 2 1</t>
  </si>
  <si>
    <t>6 3 2</t>
  </si>
  <si>
    <t>10 5 2</t>
  </si>
  <si>
    <t>8 4 1</t>
  </si>
  <si>
    <t>10 2 2</t>
  </si>
  <si>
    <t>10 3 3</t>
  </si>
  <si>
    <t>9 3 2</t>
  </si>
  <si>
    <t>7 5 2</t>
  </si>
  <si>
    <t>11 3 1</t>
  </si>
  <si>
    <t>9 5 2</t>
  </si>
  <si>
    <t>9 2 2</t>
  </si>
  <si>
    <t>9 3 3</t>
  </si>
  <si>
    <t>10 1 1</t>
  </si>
  <si>
    <t>11 3 3</t>
  </si>
  <si>
    <t xml:space="preserve">7 5 1 </t>
  </si>
  <si>
    <t xml:space="preserve">6 3 2 </t>
  </si>
  <si>
    <t xml:space="preserve">9 3 2 </t>
  </si>
  <si>
    <t xml:space="preserve">10 5 2 </t>
  </si>
  <si>
    <t xml:space="preserve">7 5 2 </t>
  </si>
  <si>
    <t xml:space="preserve">10 3 1 </t>
  </si>
  <si>
    <t xml:space="preserve">10 6 2 </t>
  </si>
  <si>
    <t xml:space="preserve">10 2 2 </t>
  </si>
  <si>
    <t xml:space="preserve">10 3 2 </t>
  </si>
  <si>
    <t xml:space="preserve">8 4 1 </t>
  </si>
  <si>
    <t xml:space="preserve">9 3 1 </t>
  </si>
  <si>
    <t xml:space="preserve">10 2 1 </t>
  </si>
  <si>
    <t xml:space="preserve">9 3 3 </t>
  </si>
  <si>
    <t xml:space="preserve">10 3 3 </t>
  </si>
  <si>
    <t xml:space="preserve">10 1 1 </t>
  </si>
  <si>
    <t xml:space="preserve">9 5 2 </t>
  </si>
  <si>
    <t xml:space="preserve">6 3 5 </t>
  </si>
  <si>
    <t xml:space="preserve">9 1 1 </t>
  </si>
  <si>
    <t xml:space="preserve">11 3 3 </t>
  </si>
  <si>
    <t>Referencia</t>
  </si>
  <si>
    <t>Cantidad</t>
  </si>
  <si>
    <t>9 1 1</t>
  </si>
  <si>
    <t>8 3 1</t>
  </si>
  <si>
    <t>10 5 1</t>
  </si>
  <si>
    <t>6 3 5</t>
  </si>
  <si>
    <t>11 1 2</t>
  </si>
  <si>
    <t>12 4 3</t>
  </si>
  <si>
    <t>9 2 1</t>
  </si>
  <si>
    <t>6 5 3</t>
  </si>
  <si>
    <t>9 3 1</t>
  </si>
  <si>
    <t>8 2 1</t>
  </si>
  <si>
    <t>9 4 2</t>
  </si>
  <si>
    <t>3 3 3</t>
  </si>
  <si>
    <t xml:space="preserve">% Nueva Utilización </t>
  </si>
  <si>
    <t>BL</t>
  </si>
  <si>
    <t>BAF</t>
  </si>
  <si>
    <t>BLSF</t>
  </si>
  <si>
    <t>OG</t>
  </si>
  <si>
    <t>Volumen Modelo</t>
  </si>
  <si>
    <t>Utilización Modelo</t>
  </si>
  <si>
    <t>Mejora porcentual Volumen</t>
  </si>
  <si>
    <t>Mejora Porcentual Piezas</t>
  </si>
  <si>
    <t>Mejora porcentual Piezas</t>
  </si>
  <si>
    <t>Cajas Totales Mejora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</si>
</sst>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">
    <dxf>
      <font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zoomScaleNormal="100" workbookViewId="0">
      <selection activeCell="K14" sqref="K14"/>
    </sheetView>
  </sheetViews>
  <sheetFormatPr baseColWidth="10" defaultColWidth="8.88671875" defaultRowHeight="14.4" x14ac:dyDescent="0.3"/>
  <cols>
    <col min="1" max="1" width="8.88671875" style="2"/>
    <col min="2" max="2" width="27.33203125" style="2" customWidth="1"/>
    <col min="3" max="3" width="10.109375" style="2" bestFit="1" customWidth="1"/>
    <col min="4" max="16384" width="8.88671875" style="2"/>
  </cols>
  <sheetData>
    <row r="1" spans="1:18" x14ac:dyDescent="0.3">
      <c r="A1" s="4" t="s">
        <v>80</v>
      </c>
      <c r="B1" s="5" t="s">
        <v>16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6" t="s">
        <v>11</v>
      </c>
      <c r="O1" s="5" t="s">
        <v>12</v>
      </c>
      <c r="P1" s="5" t="s">
        <v>13</v>
      </c>
      <c r="Q1" s="5" t="s">
        <v>14</v>
      </c>
      <c r="R1" s="5" t="s">
        <v>15</v>
      </c>
    </row>
    <row r="2" spans="1:18" x14ac:dyDescent="0.3">
      <c r="A2" s="4"/>
      <c r="B2" s="5" t="s">
        <v>18</v>
      </c>
      <c r="C2" s="5">
        <v>599</v>
      </c>
      <c r="D2" s="5">
        <v>598</v>
      </c>
      <c r="E2" s="5">
        <v>636</v>
      </c>
      <c r="F2" s="5">
        <v>618</v>
      </c>
      <c r="G2" s="5">
        <v>614</v>
      </c>
      <c r="H2" s="5">
        <v>625</v>
      </c>
      <c r="I2" s="5">
        <v>614</v>
      </c>
      <c r="J2" s="5">
        <v>608</v>
      </c>
      <c r="K2" s="5">
        <v>630</v>
      </c>
      <c r="L2" s="5">
        <v>611</v>
      </c>
      <c r="M2" s="5">
        <v>620</v>
      </c>
      <c r="N2" s="5">
        <v>628</v>
      </c>
      <c r="O2" s="5">
        <v>653</v>
      </c>
      <c r="P2" s="5">
        <v>613</v>
      </c>
      <c r="Q2" s="5">
        <v>615</v>
      </c>
      <c r="R2" s="5">
        <v>629</v>
      </c>
    </row>
    <row r="3" spans="1:18" x14ac:dyDescent="0.3">
      <c r="A3" s="4"/>
      <c r="B3" s="5" t="s">
        <v>17</v>
      </c>
      <c r="C3" s="7">
        <v>0.81200000000000006</v>
      </c>
      <c r="D3" s="7">
        <v>0.81100000000000005</v>
      </c>
      <c r="E3" s="7">
        <v>0.86199999999999999</v>
      </c>
      <c r="F3" s="7">
        <v>0.83799999999999997</v>
      </c>
      <c r="G3" s="7">
        <v>0.83299999999999996</v>
      </c>
      <c r="H3" s="7">
        <v>0.84799999999999998</v>
      </c>
      <c r="I3" s="7">
        <v>0.83299999999999996</v>
      </c>
      <c r="J3" s="7">
        <v>0.82499999999999996</v>
      </c>
      <c r="K3" s="7">
        <v>0.85399999999999998</v>
      </c>
      <c r="L3" s="7">
        <v>0.82899999999999996</v>
      </c>
      <c r="M3" s="7">
        <v>0.84099999999999997</v>
      </c>
      <c r="N3" s="7">
        <v>0.85199999999999998</v>
      </c>
      <c r="O3" s="7">
        <v>0.88600000000000001</v>
      </c>
      <c r="P3" s="7">
        <v>0.83099999999999996</v>
      </c>
      <c r="Q3" s="7">
        <v>0.83399999999999996</v>
      </c>
      <c r="R3" s="7">
        <v>0.85399999999999998</v>
      </c>
    </row>
    <row r="4" spans="1:18" x14ac:dyDescent="0.3">
      <c r="A4" s="4"/>
      <c r="B4" s="5" t="s">
        <v>81</v>
      </c>
      <c r="C4" s="5">
        <v>625</v>
      </c>
      <c r="D4" s="5">
        <v>569</v>
      </c>
      <c r="E4" s="5">
        <v>625</v>
      </c>
      <c r="F4" s="5">
        <v>613</v>
      </c>
      <c r="G4" s="5">
        <v>573</v>
      </c>
      <c r="H4" s="5">
        <v>587</v>
      </c>
      <c r="I4" s="5">
        <v>583</v>
      </c>
      <c r="J4" s="5">
        <v>584</v>
      </c>
      <c r="K4" s="5">
        <v>608</v>
      </c>
      <c r="L4" s="5">
        <v>629</v>
      </c>
      <c r="M4" s="5">
        <v>592</v>
      </c>
      <c r="N4" s="5">
        <v>626</v>
      </c>
      <c r="O4" s="5">
        <v>634</v>
      </c>
      <c r="P4" s="5">
        <v>596</v>
      </c>
      <c r="Q4" s="5">
        <v>591</v>
      </c>
      <c r="R4" s="5">
        <v>585</v>
      </c>
    </row>
    <row r="5" spans="1:18" x14ac:dyDescent="0.3">
      <c r="A5" s="4"/>
      <c r="B5" s="5" t="s">
        <v>82</v>
      </c>
      <c r="C5" s="7">
        <v>0.85070000000000001</v>
      </c>
      <c r="D5" s="7">
        <v>0.77539999999999998</v>
      </c>
      <c r="E5" s="7">
        <v>0.85160000000000002</v>
      </c>
      <c r="F5" s="7">
        <v>0.83550000000000002</v>
      </c>
      <c r="G5" s="7">
        <v>0.78090000000000004</v>
      </c>
      <c r="H5" s="7">
        <v>0.7984</v>
      </c>
      <c r="I5" s="7">
        <v>0.79430000000000001</v>
      </c>
      <c r="J5" s="7">
        <v>0.79569999999999996</v>
      </c>
      <c r="K5" s="7">
        <v>0.8276</v>
      </c>
      <c r="L5" s="7">
        <v>0.85650000000000004</v>
      </c>
      <c r="M5" s="7">
        <v>0.80630000000000002</v>
      </c>
      <c r="N5" s="7">
        <v>0.85319999999999996</v>
      </c>
      <c r="O5" s="7">
        <v>0.86380000000000001</v>
      </c>
      <c r="P5" s="7">
        <v>0.81220000000000003</v>
      </c>
      <c r="Q5" s="7">
        <v>0.80549999999999999</v>
      </c>
      <c r="R5" s="7">
        <v>0.79710000000000003</v>
      </c>
    </row>
    <row r="6" spans="1:18" x14ac:dyDescent="0.3">
      <c r="A6" s="4"/>
      <c r="B6" s="5" t="s">
        <v>19</v>
      </c>
      <c r="C6" s="5">
        <v>82449</v>
      </c>
      <c r="D6" s="5">
        <v>82296</v>
      </c>
      <c r="E6" s="5">
        <v>85228</v>
      </c>
      <c r="F6" s="5">
        <v>85482</v>
      </c>
      <c r="G6" s="5">
        <v>82857</v>
      </c>
      <c r="H6" s="5">
        <v>86006</v>
      </c>
      <c r="I6" s="5">
        <v>82930</v>
      </c>
      <c r="J6" s="5">
        <v>82780</v>
      </c>
      <c r="K6" s="5">
        <v>82437</v>
      </c>
      <c r="L6" s="5">
        <v>78435</v>
      </c>
      <c r="M6" s="5">
        <v>83436</v>
      </c>
      <c r="N6" s="5">
        <v>79145</v>
      </c>
      <c r="O6" s="5">
        <v>90604</v>
      </c>
      <c r="P6" s="5">
        <v>83675</v>
      </c>
      <c r="Q6" s="5">
        <v>81916</v>
      </c>
      <c r="R6" s="5">
        <v>82075</v>
      </c>
    </row>
    <row r="7" spans="1:18" x14ac:dyDescent="0.3">
      <c r="A7" s="4"/>
      <c r="B7" s="5" t="s">
        <v>20</v>
      </c>
      <c r="C7" s="7">
        <v>0.73</v>
      </c>
      <c r="D7" s="7">
        <v>0.72899999999999998</v>
      </c>
      <c r="E7" s="7">
        <v>0.755</v>
      </c>
      <c r="F7" s="7">
        <v>0.75700000000000001</v>
      </c>
      <c r="G7" s="7">
        <v>0.73399999999999999</v>
      </c>
      <c r="H7" s="7">
        <v>0.76200000000000001</v>
      </c>
      <c r="I7" s="7">
        <v>0.73499999999999999</v>
      </c>
      <c r="J7" s="7">
        <v>0.73299999999999998</v>
      </c>
      <c r="K7" s="7">
        <v>0.73</v>
      </c>
      <c r="L7" s="7">
        <v>0.69499999999999995</v>
      </c>
      <c r="M7" s="7">
        <v>0.73899999999999999</v>
      </c>
      <c r="N7" s="7">
        <v>0.70099999999999996</v>
      </c>
      <c r="O7" s="7">
        <v>0.80300000000000005</v>
      </c>
      <c r="P7" s="7">
        <v>0.74099999999999999</v>
      </c>
      <c r="Q7" s="7">
        <v>0.72599999999999998</v>
      </c>
      <c r="R7" s="7">
        <v>0.72699999999999998</v>
      </c>
    </row>
    <row r="8" spans="1:18" x14ac:dyDescent="0.3">
      <c r="A8" s="4"/>
      <c r="B8" s="5" t="s">
        <v>24</v>
      </c>
      <c r="C8" s="5">
        <f>COUNT('Cajas nuevas'!C3:C26)</f>
        <v>18</v>
      </c>
      <c r="D8" s="5">
        <f>COUNT('Cajas nuevas'!E3:E26)</f>
        <v>19</v>
      </c>
      <c r="E8" s="5">
        <f>COUNT('Cajas nuevas'!G3:G26)</f>
        <v>15</v>
      </c>
      <c r="F8" s="5">
        <f>COUNT('Cajas nuevas'!I3:I26)</f>
        <v>19</v>
      </c>
      <c r="G8" s="5">
        <f>COUNT('Cajas nuevas'!K3:K26)</f>
        <v>20</v>
      </c>
      <c r="H8" s="5">
        <f>COUNT('Cajas nuevas'!M3:M26)</f>
        <v>18</v>
      </c>
      <c r="I8" s="5">
        <f>COUNT('Cajas nuevas'!O3:O26)</f>
        <v>20</v>
      </c>
      <c r="J8" s="5">
        <f>COUNT('Cajas nuevas'!Q3:Q26)</f>
        <v>19</v>
      </c>
      <c r="K8" s="5">
        <f>COUNT('Cajas nuevas'!S3:S26)</f>
        <v>20</v>
      </c>
      <c r="L8" s="5">
        <f>COUNT('Cajas nuevas'!U3:U26)</f>
        <v>22</v>
      </c>
      <c r="M8" s="5">
        <f>COUNT('Cajas nuevas'!W3:W26)</f>
        <v>19</v>
      </c>
      <c r="N8" s="5">
        <f>COUNT('Cajas nuevas'!Y3:Y26)</f>
        <v>17</v>
      </c>
      <c r="O8" s="5">
        <f>COUNT('Cajas nuevas'!AA3:AA26)</f>
        <v>17</v>
      </c>
      <c r="P8" s="5">
        <f>COUNT('Cajas nuevas'!AC3:AC26)</f>
        <v>21</v>
      </c>
      <c r="Q8" s="5">
        <f>COUNT('Cajas nuevas'!AE3:AE26)</f>
        <v>22</v>
      </c>
      <c r="R8" s="5">
        <f>COUNT('Cajas nuevas'!AG3:AG26)</f>
        <v>21</v>
      </c>
    </row>
    <row r="9" spans="1:18" x14ac:dyDescent="0.3">
      <c r="A9" s="4"/>
      <c r="B9" s="5" t="s">
        <v>23</v>
      </c>
      <c r="C9" s="5">
        <v>10537</v>
      </c>
      <c r="D9" s="5">
        <v>10911</v>
      </c>
      <c r="E9" s="5">
        <v>9252</v>
      </c>
      <c r="F9" s="5">
        <v>10541</v>
      </c>
      <c r="G9" s="5">
        <v>10453</v>
      </c>
      <c r="H9" s="5">
        <v>11635</v>
      </c>
      <c r="I9" s="5">
        <v>11587</v>
      </c>
      <c r="J9" s="5">
        <v>12272</v>
      </c>
      <c r="K9" s="5">
        <v>12393</v>
      </c>
      <c r="L9" s="5">
        <v>10770</v>
      </c>
      <c r="M9" s="5">
        <v>11756</v>
      </c>
      <c r="N9" s="5">
        <v>11175</v>
      </c>
      <c r="O9" s="5">
        <v>12475</v>
      </c>
      <c r="P9" s="5">
        <v>10851</v>
      </c>
      <c r="Q9" s="5">
        <v>11375</v>
      </c>
      <c r="R9" s="5">
        <v>12079</v>
      </c>
    </row>
    <row r="10" spans="1:18" x14ac:dyDescent="0.3">
      <c r="A10" s="4"/>
      <c r="B10" s="5" t="s">
        <v>22</v>
      </c>
      <c r="C10" s="5">
        <v>2000</v>
      </c>
      <c r="D10" s="5">
        <v>2000</v>
      </c>
      <c r="E10" s="5">
        <v>2000</v>
      </c>
      <c r="F10" s="5">
        <v>2000</v>
      </c>
      <c r="G10" s="5">
        <v>2000</v>
      </c>
      <c r="H10" s="5">
        <v>2000</v>
      </c>
      <c r="I10" s="5">
        <v>2000</v>
      </c>
      <c r="J10" s="5">
        <v>2000</v>
      </c>
      <c r="K10" s="5">
        <v>2000</v>
      </c>
      <c r="L10" s="5">
        <v>2000</v>
      </c>
      <c r="M10" s="5">
        <v>2000</v>
      </c>
      <c r="N10" s="5">
        <v>2000</v>
      </c>
      <c r="O10" s="5">
        <v>2000</v>
      </c>
      <c r="P10" s="5">
        <v>2000</v>
      </c>
      <c r="Q10" s="5">
        <v>2000</v>
      </c>
      <c r="R10" s="5">
        <v>2000</v>
      </c>
    </row>
    <row r="11" spans="1:18" x14ac:dyDescent="0.3">
      <c r="A11" s="4" t="s">
        <v>77</v>
      </c>
      <c r="B11" s="8" t="s">
        <v>86</v>
      </c>
      <c r="C11" s="8">
        <v>11704</v>
      </c>
      <c r="D11" s="8">
        <v>12419</v>
      </c>
      <c r="E11" s="8">
        <v>9722</v>
      </c>
      <c r="F11" s="8">
        <v>11052</v>
      </c>
      <c r="G11" s="8">
        <v>11685</v>
      </c>
      <c r="H11" s="8">
        <v>12608</v>
      </c>
      <c r="I11" s="8">
        <v>12863</v>
      </c>
      <c r="J11" s="8">
        <v>13786</v>
      </c>
      <c r="K11" s="8">
        <v>13237</v>
      </c>
      <c r="L11" s="8">
        <v>11522</v>
      </c>
      <c r="M11" s="8">
        <v>12867</v>
      </c>
      <c r="N11" s="8">
        <v>11356</v>
      </c>
      <c r="O11" s="8">
        <v>12900</v>
      </c>
      <c r="P11" s="8">
        <v>11962</v>
      </c>
      <c r="Q11" s="8">
        <v>12324</v>
      </c>
      <c r="R11" s="8">
        <v>13466</v>
      </c>
    </row>
    <row r="12" spans="1:18" x14ac:dyDescent="0.3">
      <c r="A12" s="4"/>
      <c r="B12" s="8" t="s">
        <v>21</v>
      </c>
      <c r="C12" s="8">
        <f>C11-C$9</f>
        <v>1167</v>
      </c>
      <c r="D12" s="8">
        <f>D11-D9</f>
        <v>1508</v>
      </c>
      <c r="E12" s="8">
        <f t="shared" ref="E12:R12" si="0">E11-E9</f>
        <v>470</v>
      </c>
      <c r="F12" s="8">
        <f t="shared" si="0"/>
        <v>511</v>
      </c>
      <c r="G12" s="8">
        <f t="shared" si="0"/>
        <v>1232</v>
      </c>
      <c r="H12" s="8">
        <f t="shared" si="0"/>
        <v>973</v>
      </c>
      <c r="I12" s="8">
        <f t="shared" si="0"/>
        <v>1276</v>
      </c>
      <c r="J12" s="8">
        <f t="shared" si="0"/>
        <v>1514</v>
      </c>
      <c r="K12" s="8">
        <f t="shared" si="0"/>
        <v>844</v>
      </c>
      <c r="L12" s="8">
        <f t="shared" si="0"/>
        <v>752</v>
      </c>
      <c r="M12" s="8">
        <f t="shared" si="0"/>
        <v>1111</v>
      </c>
      <c r="N12" s="8">
        <f t="shared" si="0"/>
        <v>181</v>
      </c>
      <c r="O12" s="8">
        <f t="shared" si="0"/>
        <v>425</v>
      </c>
      <c r="P12" s="8">
        <f t="shared" si="0"/>
        <v>1111</v>
      </c>
      <c r="Q12" s="8">
        <f t="shared" si="0"/>
        <v>949</v>
      </c>
      <c r="R12" s="8">
        <f t="shared" si="0"/>
        <v>1387</v>
      </c>
    </row>
    <row r="13" spans="1:18" x14ac:dyDescent="0.3">
      <c r="A13" s="4"/>
      <c r="B13" s="8" t="s">
        <v>76</v>
      </c>
      <c r="C13" s="9">
        <v>0.88619999999999999</v>
      </c>
      <c r="D13" s="9">
        <v>0.89529999999999998</v>
      </c>
      <c r="E13" s="10">
        <v>0.90590000000000004</v>
      </c>
      <c r="F13" s="10">
        <v>0.88929999999999998</v>
      </c>
      <c r="G13" s="10">
        <v>0.89970000000000006</v>
      </c>
      <c r="H13" s="10">
        <v>0.89480000000000004</v>
      </c>
      <c r="I13" s="10">
        <v>0.9012</v>
      </c>
      <c r="J13" s="10">
        <v>0.89539999999999997</v>
      </c>
      <c r="K13" s="10">
        <v>0.88300000000000001</v>
      </c>
      <c r="L13" s="10">
        <v>0.86570000000000003</v>
      </c>
      <c r="M13" s="10">
        <v>0.88260000000000005</v>
      </c>
      <c r="N13" s="10">
        <v>0.83299999999999996</v>
      </c>
      <c r="O13" s="10">
        <v>0.90790000000000004</v>
      </c>
      <c r="P13" s="10">
        <v>0.88859999999999995</v>
      </c>
      <c r="Q13" s="10">
        <v>0.9</v>
      </c>
      <c r="R13" s="10">
        <v>0.89</v>
      </c>
    </row>
    <row r="14" spans="1:18" x14ac:dyDescent="0.3">
      <c r="A14" s="4"/>
      <c r="B14" s="8" t="s">
        <v>84</v>
      </c>
      <c r="C14" s="9">
        <f>(1-C11*1/C$9)*-1</f>
        <v>0.1107525861250831</v>
      </c>
      <c r="D14" s="9">
        <f t="shared" ref="D14:R14" si="1">(1-D11*1/D9)*-1</f>
        <v>0.13820914673265516</v>
      </c>
      <c r="E14" s="9">
        <f t="shared" si="1"/>
        <v>5.0799827064418546E-2</v>
      </c>
      <c r="F14" s="9">
        <f t="shared" si="1"/>
        <v>4.8477374063181866E-2</v>
      </c>
      <c r="G14" s="9">
        <f t="shared" si="1"/>
        <v>0.11786090117669579</v>
      </c>
      <c r="H14" s="9">
        <f t="shared" si="1"/>
        <v>8.3626987537602115E-2</v>
      </c>
      <c r="I14" s="9">
        <f t="shared" si="1"/>
        <v>0.11012341417105387</v>
      </c>
      <c r="J14" s="9">
        <f t="shared" si="1"/>
        <v>0.12337027379400256</v>
      </c>
      <c r="K14" s="9"/>
      <c r="L14" s="9">
        <f t="shared" si="1"/>
        <v>6.9823584029712116E-2</v>
      </c>
      <c r="M14" s="9">
        <f t="shared" si="1"/>
        <v>9.4504933650901624E-2</v>
      </c>
      <c r="N14" s="9">
        <f t="shared" si="1"/>
        <v>1.6196868008948595E-2</v>
      </c>
      <c r="O14" s="9">
        <f t="shared" si="1"/>
        <v>3.4068136272545013E-2</v>
      </c>
      <c r="P14" s="9">
        <f t="shared" si="1"/>
        <v>0.10238687678554981</v>
      </c>
      <c r="Q14" s="9">
        <f t="shared" si="1"/>
        <v>8.3428571428571408E-2</v>
      </c>
      <c r="R14" s="9">
        <f t="shared" si="1"/>
        <v>0.11482738637304402</v>
      </c>
    </row>
    <row r="15" spans="1:18" x14ac:dyDescent="0.3">
      <c r="A15" s="4"/>
      <c r="B15" s="8" t="s">
        <v>83</v>
      </c>
      <c r="C15" s="9">
        <f>C13-C$5</f>
        <v>3.5499999999999976E-2</v>
      </c>
      <c r="D15" s="9">
        <f t="shared" ref="D15:R15" si="2">D13-D5</f>
        <v>0.11990000000000001</v>
      </c>
      <c r="E15" s="9">
        <f t="shared" si="2"/>
        <v>5.4300000000000015E-2</v>
      </c>
      <c r="F15" s="9">
        <f t="shared" si="2"/>
        <v>5.3799999999999959E-2</v>
      </c>
      <c r="G15" s="9">
        <f t="shared" si="2"/>
        <v>0.11880000000000002</v>
      </c>
      <c r="H15" s="9">
        <f t="shared" si="2"/>
        <v>9.6400000000000041E-2</v>
      </c>
      <c r="I15" s="9">
        <f t="shared" si="2"/>
        <v>0.1069</v>
      </c>
      <c r="J15" s="9">
        <f t="shared" si="2"/>
        <v>9.9700000000000011E-2</v>
      </c>
      <c r="K15" s="9">
        <f t="shared" si="2"/>
        <v>5.5400000000000005E-2</v>
      </c>
      <c r="L15" s="9">
        <f t="shared" si="2"/>
        <v>9.199999999999986E-3</v>
      </c>
      <c r="M15" s="9">
        <f t="shared" si="2"/>
        <v>7.6300000000000034E-2</v>
      </c>
      <c r="N15" s="9">
        <f t="shared" si="2"/>
        <v>-2.0199999999999996E-2</v>
      </c>
      <c r="O15" s="9">
        <f t="shared" si="2"/>
        <v>4.4100000000000028E-2</v>
      </c>
      <c r="P15" s="9">
        <f t="shared" si="2"/>
        <v>7.6399999999999912E-2</v>
      </c>
      <c r="Q15" s="9">
        <f t="shared" si="2"/>
        <v>9.4500000000000028E-2</v>
      </c>
      <c r="R15" s="9">
        <f t="shared" si="2"/>
        <v>9.2899999999999983E-2</v>
      </c>
    </row>
    <row r="16" spans="1:18" x14ac:dyDescent="0.3">
      <c r="A16" s="4" t="s">
        <v>78</v>
      </c>
      <c r="B16" s="11" t="s">
        <v>86</v>
      </c>
      <c r="C16" s="11">
        <v>10919</v>
      </c>
      <c r="D16" s="11">
        <v>11752</v>
      </c>
      <c r="E16" s="11">
        <v>8598</v>
      </c>
      <c r="F16" s="11">
        <v>10453</v>
      </c>
      <c r="G16" s="11">
        <v>11209</v>
      </c>
      <c r="H16" s="11">
        <v>12097</v>
      </c>
      <c r="I16" s="11">
        <v>12116</v>
      </c>
      <c r="J16" s="11">
        <v>12989</v>
      </c>
      <c r="K16" s="11">
        <v>12509</v>
      </c>
      <c r="L16" s="11">
        <v>11161</v>
      </c>
      <c r="M16" s="11">
        <v>12140</v>
      </c>
      <c r="N16" s="11">
        <v>10950</v>
      </c>
      <c r="O16" s="11">
        <v>11614</v>
      </c>
      <c r="P16" s="11">
        <v>11119</v>
      </c>
      <c r="Q16" s="11">
        <v>11293</v>
      </c>
      <c r="R16" s="11">
        <v>12759</v>
      </c>
    </row>
    <row r="17" spans="1:18" x14ac:dyDescent="0.3">
      <c r="A17" s="4"/>
      <c r="B17" s="11" t="s">
        <v>21</v>
      </c>
      <c r="C17" s="11">
        <f>C16-C$9</f>
        <v>382</v>
      </c>
      <c r="D17" s="11">
        <f t="shared" ref="D17:R17" si="3">D16-D$9</f>
        <v>841</v>
      </c>
      <c r="E17" s="11">
        <f t="shared" si="3"/>
        <v>-654</v>
      </c>
      <c r="F17" s="11">
        <f t="shared" si="3"/>
        <v>-88</v>
      </c>
      <c r="G17" s="11">
        <f t="shared" si="3"/>
        <v>756</v>
      </c>
      <c r="H17" s="11">
        <f t="shared" si="3"/>
        <v>462</v>
      </c>
      <c r="I17" s="11">
        <f t="shared" si="3"/>
        <v>529</v>
      </c>
      <c r="J17" s="11">
        <f t="shared" si="3"/>
        <v>717</v>
      </c>
      <c r="K17" s="11">
        <f t="shared" si="3"/>
        <v>116</v>
      </c>
      <c r="L17" s="11">
        <f t="shared" si="3"/>
        <v>391</v>
      </c>
      <c r="M17" s="11">
        <f t="shared" si="3"/>
        <v>384</v>
      </c>
      <c r="N17" s="11">
        <f t="shared" si="3"/>
        <v>-225</v>
      </c>
      <c r="O17" s="11">
        <f t="shared" si="3"/>
        <v>-861</v>
      </c>
      <c r="P17" s="11">
        <f t="shared" si="3"/>
        <v>268</v>
      </c>
      <c r="Q17" s="11">
        <f t="shared" si="3"/>
        <v>-82</v>
      </c>
      <c r="R17" s="11">
        <f t="shared" si="3"/>
        <v>680</v>
      </c>
    </row>
    <row r="18" spans="1:18" x14ac:dyDescent="0.3">
      <c r="A18" s="4"/>
      <c r="B18" s="11" t="s">
        <v>76</v>
      </c>
      <c r="C18" s="12">
        <v>0.84499999999999997</v>
      </c>
      <c r="D18" s="12">
        <v>0.83199999999999996</v>
      </c>
      <c r="E18" s="12">
        <v>0.80800000000000005</v>
      </c>
      <c r="F18" s="12">
        <v>0.80020000000000002</v>
      </c>
      <c r="G18" s="12">
        <v>0.83699999999999997</v>
      </c>
      <c r="H18" s="12">
        <v>0.83069999999999999</v>
      </c>
      <c r="I18" s="13">
        <v>0.83499999999999996</v>
      </c>
      <c r="J18" s="13">
        <v>0.83799999999999997</v>
      </c>
      <c r="K18" s="13">
        <v>0.83399999999999996</v>
      </c>
      <c r="L18" s="13">
        <v>0.83599999999999997</v>
      </c>
      <c r="M18" s="13">
        <v>0.83</v>
      </c>
      <c r="N18" s="13">
        <v>0.82899999999999996</v>
      </c>
      <c r="O18" s="12">
        <v>0.80279999999999996</v>
      </c>
      <c r="P18" s="13">
        <v>0.83099999999999996</v>
      </c>
      <c r="Q18" s="13">
        <v>0.83199999999999996</v>
      </c>
      <c r="R18" s="13">
        <v>0.84</v>
      </c>
    </row>
    <row r="19" spans="1:18" x14ac:dyDescent="0.3">
      <c r="A19" s="4"/>
      <c r="B19" s="11" t="s">
        <v>85</v>
      </c>
      <c r="C19" s="12">
        <f>(1-C16*1/C$9)*-1</f>
        <v>3.6253202998955958E-2</v>
      </c>
      <c r="D19" s="12">
        <f t="shared" ref="D19:R19" si="4">(1-D16*1/D$9)*-1</f>
        <v>7.7078177985519192E-2</v>
      </c>
      <c r="E19" s="12">
        <f t="shared" si="4"/>
        <v>-7.0687418936446145E-2</v>
      </c>
      <c r="F19" s="12">
        <f t="shared" si="4"/>
        <v>-8.3483540461056771E-3</v>
      </c>
      <c r="G19" s="12">
        <f t="shared" si="4"/>
        <v>7.2323734812972384E-2</v>
      </c>
      <c r="H19" s="12">
        <f t="shared" si="4"/>
        <v>3.9707778255264392E-2</v>
      </c>
      <c r="I19" s="12">
        <f t="shared" si="4"/>
        <v>4.5654612928281768E-2</v>
      </c>
      <c r="J19" s="12">
        <f t="shared" si="4"/>
        <v>5.8425684485006624E-2</v>
      </c>
      <c r="K19" s="12">
        <f t="shared" si="4"/>
        <v>9.3601226498829515E-3</v>
      </c>
      <c r="L19" s="12">
        <f t="shared" si="4"/>
        <v>3.6304549675023168E-2</v>
      </c>
      <c r="M19" s="12">
        <f t="shared" si="4"/>
        <v>3.2664171486900262E-2</v>
      </c>
      <c r="N19" s="12">
        <f t="shared" si="4"/>
        <v>-2.0134228187919434E-2</v>
      </c>
      <c r="O19" s="12">
        <f t="shared" si="4"/>
        <v>-6.9018036072144295E-2</v>
      </c>
      <c r="P19" s="12">
        <f t="shared" si="4"/>
        <v>2.4698184499124531E-2</v>
      </c>
      <c r="Q19" s="12">
        <f t="shared" si="4"/>
        <v>-7.2087912087912542E-3</v>
      </c>
      <c r="R19" s="12">
        <f t="shared" si="4"/>
        <v>5.6296050997599156E-2</v>
      </c>
    </row>
    <row r="20" spans="1:18" x14ac:dyDescent="0.3">
      <c r="A20" s="4"/>
      <c r="B20" s="11" t="s">
        <v>83</v>
      </c>
      <c r="C20" s="12">
        <f>C18-C$5</f>
        <v>-5.7000000000000384E-3</v>
      </c>
      <c r="D20" s="12">
        <f t="shared" ref="D20:R20" si="5">D18-D$5</f>
        <v>5.6599999999999984E-2</v>
      </c>
      <c r="E20" s="12">
        <f t="shared" si="5"/>
        <v>-4.3599999999999972E-2</v>
      </c>
      <c r="F20" s="12">
        <f t="shared" si="5"/>
        <v>-3.5299999999999998E-2</v>
      </c>
      <c r="G20" s="12">
        <f t="shared" si="5"/>
        <v>5.6099999999999928E-2</v>
      </c>
      <c r="H20" s="12">
        <f t="shared" si="5"/>
        <v>3.2299999999999995E-2</v>
      </c>
      <c r="I20" s="12">
        <f t="shared" si="5"/>
        <v>4.0699999999999958E-2</v>
      </c>
      <c r="J20" s="12">
        <f t="shared" si="5"/>
        <v>4.2300000000000004E-2</v>
      </c>
      <c r="K20" s="12">
        <f t="shared" si="5"/>
        <v>6.3999999999999613E-3</v>
      </c>
      <c r="L20" s="12">
        <f t="shared" si="5"/>
        <v>-2.0500000000000074E-2</v>
      </c>
      <c r="M20" s="12">
        <f t="shared" si="5"/>
        <v>2.3699999999999943E-2</v>
      </c>
      <c r="N20" s="12">
        <f t="shared" si="5"/>
        <v>-2.4199999999999999E-2</v>
      </c>
      <c r="O20" s="12">
        <f t="shared" si="5"/>
        <v>-6.1000000000000054E-2</v>
      </c>
      <c r="P20" s="12">
        <f t="shared" si="5"/>
        <v>1.8799999999999928E-2</v>
      </c>
      <c r="Q20" s="12">
        <f t="shared" si="5"/>
        <v>2.6499999999999968E-2</v>
      </c>
      <c r="R20" s="12">
        <f t="shared" si="5"/>
        <v>4.2899999999999938E-2</v>
      </c>
    </row>
    <row r="21" spans="1:18" x14ac:dyDescent="0.3">
      <c r="A21" s="4" t="s">
        <v>79</v>
      </c>
      <c r="B21" s="14" t="s">
        <v>86</v>
      </c>
      <c r="C21" s="14">
        <v>10878</v>
      </c>
      <c r="D21" s="14">
        <v>11894</v>
      </c>
      <c r="E21" s="14">
        <v>9514</v>
      </c>
      <c r="F21" s="14">
        <v>10471</v>
      </c>
      <c r="G21" s="14">
        <v>10847</v>
      </c>
      <c r="H21" s="14">
        <v>12129</v>
      </c>
      <c r="I21" s="14">
        <v>11733</v>
      </c>
      <c r="J21" s="14">
        <v>12187</v>
      </c>
      <c r="K21" s="14">
        <v>12227</v>
      </c>
      <c r="L21" s="14">
        <v>11075</v>
      </c>
      <c r="M21" s="14">
        <v>12180</v>
      </c>
      <c r="N21" s="14">
        <v>10971</v>
      </c>
      <c r="O21" s="14">
        <v>9741</v>
      </c>
      <c r="P21" s="14">
        <v>10763</v>
      </c>
      <c r="Q21" s="14">
        <v>11202</v>
      </c>
      <c r="R21" s="14">
        <v>12380</v>
      </c>
    </row>
    <row r="22" spans="1:18" x14ac:dyDescent="0.3">
      <c r="A22" s="4"/>
      <c r="B22" s="14" t="s">
        <v>21</v>
      </c>
      <c r="C22" s="14">
        <f>C21-C$9</f>
        <v>341</v>
      </c>
      <c r="D22" s="14">
        <f t="shared" ref="D22:R22" si="6">D21-D$9</f>
        <v>983</v>
      </c>
      <c r="E22" s="14">
        <f t="shared" si="6"/>
        <v>262</v>
      </c>
      <c r="F22" s="14">
        <f t="shared" si="6"/>
        <v>-70</v>
      </c>
      <c r="G22" s="14">
        <f t="shared" si="6"/>
        <v>394</v>
      </c>
      <c r="H22" s="14">
        <f t="shared" si="6"/>
        <v>494</v>
      </c>
      <c r="I22" s="14">
        <f t="shared" si="6"/>
        <v>146</v>
      </c>
      <c r="J22" s="14">
        <f t="shared" si="6"/>
        <v>-85</v>
      </c>
      <c r="K22" s="14">
        <f t="shared" si="6"/>
        <v>-166</v>
      </c>
      <c r="L22" s="14">
        <f t="shared" si="6"/>
        <v>305</v>
      </c>
      <c r="M22" s="14">
        <f t="shared" si="6"/>
        <v>424</v>
      </c>
      <c r="N22" s="14">
        <f t="shared" si="6"/>
        <v>-204</v>
      </c>
      <c r="O22" s="14">
        <f t="shared" si="6"/>
        <v>-2734</v>
      </c>
      <c r="P22" s="14">
        <f t="shared" si="6"/>
        <v>-88</v>
      </c>
      <c r="Q22" s="14">
        <f t="shared" si="6"/>
        <v>-173</v>
      </c>
      <c r="R22" s="14">
        <f t="shared" si="6"/>
        <v>301</v>
      </c>
    </row>
    <row r="23" spans="1:18" x14ac:dyDescent="0.3">
      <c r="A23" s="4"/>
      <c r="B23" s="14" t="s">
        <v>76</v>
      </c>
      <c r="C23" s="15">
        <v>0.79100000000000004</v>
      </c>
      <c r="D23" s="15">
        <v>0.78</v>
      </c>
      <c r="E23" s="15">
        <v>0.82</v>
      </c>
      <c r="F23" s="15">
        <v>0.78600000000000003</v>
      </c>
      <c r="G23" s="15">
        <v>0.79</v>
      </c>
      <c r="H23" s="15">
        <v>0.8</v>
      </c>
      <c r="I23" s="15">
        <v>0.80600000000000005</v>
      </c>
      <c r="J23" s="15">
        <v>0.79500000000000004</v>
      </c>
      <c r="K23" s="15">
        <v>0.79900000000000004</v>
      </c>
      <c r="L23" s="15">
        <v>0.82840000000000003</v>
      </c>
      <c r="M23" s="15">
        <v>0.83</v>
      </c>
      <c r="N23" s="15">
        <v>0.82830000000000004</v>
      </c>
      <c r="O23" s="15">
        <v>0.69</v>
      </c>
      <c r="P23" s="15">
        <v>0.81820000000000004</v>
      </c>
      <c r="Q23" s="15">
        <v>0.8095</v>
      </c>
      <c r="R23" s="15">
        <v>0.83360000000000001</v>
      </c>
    </row>
    <row r="24" spans="1:18" x14ac:dyDescent="0.3">
      <c r="A24" s="4"/>
      <c r="B24" s="14" t="s">
        <v>85</v>
      </c>
      <c r="C24" s="15">
        <f>(1-C21*1/C$9)*-1</f>
        <v>3.2362152415298384E-2</v>
      </c>
      <c r="D24" s="15">
        <f t="shared" ref="D24:R24" si="7">(1-D21*1/D$9)*-1</f>
        <v>9.0092567134084867E-2</v>
      </c>
      <c r="E24" s="15">
        <f t="shared" si="7"/>
        <v>2.8318201469952342E-2</v>
      </c>
      <c r="F24" s="15">
        <f t="shared" si="7"/>
        <v>-6.6407361730386194E-3</v>
      </c>
      <c r="G24" s="15">
        <f t="shared" si="7"/>
        <v>3.7692528460729013E-2</v>
      </c>
      <c r="H24" s="15">
        <f t="shared" si="7"/>
        <v>4.2458100558659284E-2</v>
      </c>
      <c r="I24" s="15">
        <f t="shared" si="7"/>
        <v>1.2600327953741219E-2</v>
      </c>
      <c r="J24" s="15">
        <f t="shared" si="7"/>
        <v>-6.9263363754888951E-3</v>
      </c>
      <c r="K24" s="15">
        <f t="shared" si="7"/>
        <v>-1.3394658274832549E-2</v>
      </c>
      <c r="L24" s="15">
        <f t="shared" si="7"/>
        <v>2.8319405756731753E-2</v>
      </c>
      <c r="M24" s="15">
        <f t="shared" si="7"/>
        <v>3.6066689350119141E-2</v>
      </c>
      <c r="N24" s="15">
        <f t="shared" si="7"/>
        <v>-1.825503355704694E-2</v>
      </c>
      <c r="O24" s="15">
        <f t="shared" si="7"/>
        <v>-0.21915831663326657</v>
      </c>
      <c r="P24" s="15">
        <f t="shared" si="7"/>
        <v>-8.1098516265781795E-3</v>
      </c>
      <c r="Q24" s="15">
        <f t="shared" si="7"/>
        <v>-1.5208791208791261E-2</v>
      </c>
      <c r="R24" s="15">
        <f t="shared" si="7"/>
        <v>2.4919281397466575E-2</v>
      </c>
    </row>
    <row r="25" spans="1:18" x14ac:dyDescent="0.3">
      <c r="A25" s="4"/>
      <c r="B25" s="14" t="s">
        <v>83</v>
      </c>
      <c r="C25" s="15">
        <f>C23-C$5</f>
        <v>-5.9699999999999975E-2</v>
      </c>
      <c r="D25" s="15">
        <f t="shared" ref="D25:R25" si="8">D23-D$5</f>
        <v>4.6000000000000485E-3</v>
      </c>
      <c r="E25" s="15">
        <f t="shared" si="8"/>
        <v>-3.1600000000000072E-2</v>
      </c>
      <c r="F25" s="15">
        <f t="shared" si="8"/>
        <v>-4.9499999999999988E-2</v>
      </c>
      <c r="G25" s="15">
        <f t="shared" si="8"/>
        <v>9.099999999999997E-3</v>
      </c>
      <c r="H25" s="15">
        <f t="shared" si="8"/>
        <v>1.6000000000000458E-3</v>
      </c>
      <c r="I25" s="15">
        <f t="shared" si="8"/>
        <v>1.1700000000000044E-2</v>
      </c>
      <c r="J25" s="15">
        <f t="shared" si="8"/>
        <v>-6.9999999999992291E-4</v>
      </c>
      <c r="K25" s="15">
        <f t="shared" si="8"/>
        <v>-2.8599999999999959E-2</v>
      </c>
      <c r="L25" s="15">
        <f t="shared" si="8"/>
        <v>-2.8100000000000014E-2</v>
      </c>
      <c r="M25" s="15">
        <f t="shared" si="8"/>
        <v>2.3699999999999943E-2</v>
      </c>
      <c r="N25" s="15">
        <f t="shared" si="8"/>
        <v>-2.4899999999999922E-2</v>
      </c>
      <c r="O25" s="15">
        <f t="shared" si="8"/>
        <v>-0.17380000000000007</v>
      </c>
      <c r="P25" s="15">
        <f t="shared" si="8"/>
        <v>6.0000000000000053E-3</v>
      </c>
      <c r="Q25" s="15">
        <f t="shared" si="8"/>
        <v>4.0000000000000036E-3</v>
      </c>
      <c r="R25" s="15">
        <f t="shared" si="8"/>
        <v>3.6499999999999977E-2</v>
      </c>
    </row>
  </sheetData>
  <mergeCells count="4">
    <mergeCell ref="A16:A20"/>
    <mergeCell ref="A21:A25"/>
    <mergeCell ref="A1:A10"/>
    <mergeCell ref="A11:A15"/>
  </mergeCells>
  <conditionalFormatting sqref="C2:R25">
    <cfRule type="cellIs" dxfId="0" priority="1" operator="lessThanOr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FF2D-7B19-487B-88C3-EB7EDDA04770}">
  <dimension ref="A1:AG55"/>
  <sheetViews>
    <sheetView topLeftCell="N1" workbookViewId="0">
      <selection activeCell="AG3" sqref="AG3:AG23"/>
    </sheetView>
  </sheetViews>
  <sheetFormatPr baseColWidth="10" defaultColWidth="8.88671875" defaultRowHeight="14.4" x14ac:dyDescent="0.3"/>
  <cols>
    <col min="2" max="2" width="11.6640625" customWidth="1"/>
    <col min="3" max="3" width="10.88671875" customWidth="1"/>
    <col min="4" max="5" width="14.88671875" customWidth="1"/>
    <col min="26" max="27" width="11.21875" customWidth="1"/>
    <col min="28" max="28" width="9.5546875" customWidth="1"/>
  </cols>
  <sheetData>
    <row r="1" spans="1:33" x14ac:dyDescent="0.3">
      <c r="A1" s="1"/>
      <c r="B1" s="3" t="s">
        <v>0</v>
      </c>
      <c r="C1" s="3"/>
      <c r="D1" s="3" t="s">
        <v>1</v>
      </c>
      <c r="E1" s="3"/>
      <c r="F1" s="3" t="s">
        <v>2</v>
      </c>
      <c r="G1" s="3"/>
      <c r="H1" s="3" t="s">
        <v>3</v>
      </c>
      <c r="I1" s="3"/>
      <c r="J1" s="3" t="s">
        <v>4</v>
      </c>
      <c r="K1" s="3"/>
      <c r="L1" s="3" t="s">
        <v>5</v>
      </c>
      <c r="M1" s="3"/>
      <c r="N1" s="3" t="s">
        <v>6</v>
      </c>
      <c r="O1" s="3"/>
      <c r="P1" s="3" t="s">
        <v>7</v>
      </c>
      <c r="Q1" s="3"/>
      <c r="R1" s="3" t="s">
        <v>8</v>
      </c>
      <c r="S1" s="3"/>
      <c r="T1" s="3" t="s">
        <v>9</v>
      </c>
      <c r="U1" s="3"/>
      <c r="V1" s="3" t="s">
        <v>10</v>
      </c>
      <c r="W1" s="3"/>
      <c r="X1" s="3" t="s">
        <v>11</v>
      </c>
      <c r="Y1" s="3"/>
      <c r="Z1" s="3" t="s">
        <v>12</v>
      </c>
      <c r="AA1" s="3"/>
      <c r="AB1" s="3" t="s">
        <v>13</v>
      </c>
      <c r="AC1" s="3"/>
      <c r="AD1" s="3" t="s">
        <v>14</v>
      </c>
      <c r="AE1" s="3"/>
      <c r="AF1" s="3" t="s">
        <v>15</v>
      </c>
      <c r="AG1" s="3"/>
    </row>
    <row r="2" spans="1:33" x14ac:dyDescent="0.3">
      <c r="A2" s="1"/>
      <c r="B2" s="1" t="s">
        <v>62</v>
      </c>
      <c r="C2" s="1" t="s">
        <v>63</v>
      </c>
      <c r="D2" s="1" t="s">
        <v>62</v>
      </c>
      <c r="E2" s="1" t="s">
        <v>63</v>
      </c>
      <c r="F2" s="1" t="s">
        <v>62</v>
      </c>
      <c r="G2" s="1" t="s">
        <v>63</v>
      </c>
      <c r="H2" s="1" t="s">
        <v>62</v>
      </c>
      <c r="I2" s="1" t="s">
        <v>63</v>
      </c>
      <c r="J2" s="1" t="s">
        <v>62</v>
      </c>
      <c r="K2" s="1" t="s">
        <v>63</v>
      </c>
      <c r="L2" s="1" t="s">
        <v>62</v>
      </c>
      <c r="M2" s="1" t="s">
        <v>63</v>
      </c>
      <c r="N2" s="1" t="s">
        <v>62</v>
      </c>
      <c r="O2" s="1" t="s">
        <v>63</v>
      </c>
      <c r="P2" s="1" t="s">
        <v>62</v>
      </c>
      <c r="Q2" s="1" t="s">
        <v>63</v>
      </c>
      <c r="R2" s="1" t="s">
        <v>62</v>
      </c>
      <c r="S2" s="1" t="s">
        <v>63</v>
      </c>
      <c r="T2" s="1" t="s">
        <v>62</v>
      </c>
      <c r="U2" s="1" t="s">
        <v>63</v>
      </c>
      <c r="V2" s="1" t="s">
        <v>62</v>
      </c>
      <c r="W2" s="1" t="s">
        <v>63</v>
      </c>
      <c r="X2" s="1" t="s">
        <v>62</v>
      </c>
      <c r="Y2" s="1" t="s">
        <v>63</v>
      </c>
      <c r="Z2" s="1" t="s">
        <v>62</v>
      </c>
      <c r="AA2" s="1" t="s">
        <v>63</v>
      </c>
      <c r="AB2" s="1" t="s">
        <v>62</v>
      </c>
      <c r="AC2" s="1" t="s">
        <v>63</v>
      </c>
      <c r="AD2" s="1" t="s">
        <v>62</v>
      </c>
      <c r="AE2" s="1" t="s">
        <v>63</v>
      </c>
      <c r="AF2" s="1" t="s">
        <v>62</v>
      </c>
      <c r="AG2" s="1" t="s">
        <v>63</v>
      </c>
    </row>
    <row r="3" spans="1:33" x14ac:dyDescent="0.3">
      <c r="A3" s="1"/>
      <c r="B3" s="1" t="s">
        <v>25</v>
      </c>
      <c r="C3" s="1">
        <v>308</v>
      </c>
      <c r="D3" s="1" t="s">
        <v>43</v>
      </c>
      <c r="E3" s="1">
        <v>1145</v>
      </c>
      <c r="F3" s="1" t="s">
        <v>27</v>
      </c>
      <c r="G3" s="1">
        <v>508</v>
      </c>
      <c r="H3" s="1" t="s">
        <v>25</v>
      </c>
      <c r="I3" s="1">
        <v>398</v>
      </c>
      <c r="J3" s="1" t="s">
        <v>26</v>
      </c>
      <c r="K3" s="1">
        <v>473</v>
      </c>
      <c r="L3" s="1" t="s">
        <v>28</v>
      </c>
      <c r="M3" s="1">
        <v>293</v>
      </c>
      <c r="N3" s="1" t="s">
        <v>25</v>
      </c>
      <c r="O3" s="1">
        <v>405</v>
      </c>
      <c r="P3" s="1" t="s">
        <v>25</v>
      </c>
      <c r="Q3" s="1">
        <v>514</v>
      </c>
      <c r="R3" s="1" t="s">
        <v>26</v>
      </c>
      <c r="S3" s="1">
        <v>477</v>
      </c>
      <c r="T3" s="1" t="s">
        <v>30</v>
      </c>
      <c r="U3" s="1">
        <v>264</v>
      </c>
      <c r="V3" s="1" t="s">
        <v>28</v>
      </c>
      <c r="W3" s="1">
        <v>431</v>
      </c>
      <c r="X3" s="1" t="s">
        <v>26</v>
      </c>
      <c r="Y3" s="1">
        <v>483</v>
      </c>
      <c r="Z3" s="1" t="s">
        <v>41</v>
      </c>
      <c r="AA3" s="1">
        <v>20</v>
      </c>
      <c r="AB3" s="1" t="s">
        <v>25</v>
      </c>
      <c r="AC3" s="1">
        <v>347</v>
      </c>
      <c r="AD3" s="1" t="s">
        <v>25</v>
      </c>
      <c r="AE3" s="1">
        <v>417</v>
      </c>
      <c r="AF3" s="1" t="s">
        <v>28</v>
      </c>
      <c r="AG3" s="1">
        <v>606</v>
      </c>
    </row>
    <row r="4" spans="1:33" x14ac:dyDescent="0.3">
      <c r="A4" s="1"/>
      <c r="B4" s="1" t="s">
        <v>26</v>
      </c>
      <c r="C4" s="1">
        <v>237</v>
      </c>
      <c r="D4" s="1" t="s">
        <v>44</v>
      </c>
      <c r="E4" s="1">
        <v>447</v>
      </c>
      <c r="F4" s="1" t="s">
        <v>26</v>
      </c>
      <c r="G4" s="1">
        <v>384</v>
      </c>
      <c r="H4" s="1" t="s">
        <v>31</v>
      </c>
      <c r="I4" s="1">
        <v>244</v>
      </c>
      <c r="J4" s="1" t="s">
        <v>35</v>
      </c>
      <c r="K4" s="1">
        <v>268</v>
      </c>
      <c r="L4" s="1" t="s">
        <v>26</v>
      </c>
      <c r="M4" s="1">
        <v>247</v>
      </c>
      <c r="N4" s="1" t="s">
        <v>26</v>
      </c>
      <c r="O4" s="1">
        <v>438</v>
      </c>
      <c r="P4" s="1" t="s">
        <v>26</v>
      </c>
      <c r="Q4" s="1">
        <v>411</v>
      </c>
      <c r="R4" s="1" t="s">
        <v>30</v>
      </c>
      <c r="S4" s="1">
        <v>408</v>
      </c>
      <c r="T4" s="1" t="s">
        <v>26</v>
      </c>
      <c r="U4" s="1">
        <v>244</v>
      </c>
      <c r="V4" s="1" t="s">
        <v>25</v>
      </c>
      <c r="W4" s="1">
        <v>294</v>
      </c>
      <c r="X4" s="1" t="s">
        <v>25</v>
      </c>
      <c r="Y4" s="1">
        <v>348</v>
      </c>
      <c r="Z4" s="1" t="s">
        <v>29</v>
      </c>
      <c r="AA4" s="1">
        <v>56</v>
      </c>
      <c r="AB4" s="1" t="s">
        <v>28</v>
      </c>
      <c r="AC4" s="1">
        <v>262</v>
      </c>
      <c r="AD4" s="1" t="s">
        <v>28</v>
      </c>
      <c r="AE4" s="1">
        <v>307</v>
      </c>
      <c r="AF4" s="1" t="s">
        <v>26</v>
      </c>
      <c r="AG4" s="1">
        <v>258</v>
      </c>
    </row>
    <row r="5" spans="1:33" x14ac:dyDescent="0.3">
      <c r="A5" s="1"/>
      <c r="B5" s="1" t="s">
        <v>27</v>
      </c>
      <c r="C5" s="1">
        <v>216</v>
      </c>
      <c r="D5" s="1" t="s">
        <v>45</v>
      </c>
      <c r="E5" s="1">
        <v>365</v>
      </c>
      <c r="F5" s="1" t="s">
        <v>31</v>
      </c>
      <c r="G5" s="1">
        <v>286</v>
      </c>
      <c r="H5" s="1" t="s">
        <v>28</v>
      </c>
      <c r="I5" s="1">
        <v>237</v>
      </c>
      <c r="J5" s="1" t="s">
        <v>25</v>
      </c>
      <c r="K5" s="1">
        <v>258</v>
      </c>
      <c r="L5" s="1" t="s">
        <v>25</v>
      </c>
      <c r="M5" s="1">
        <v>244</v>
      </c>
      <c r="N5" s="1" t="s">
        <v>28</v>
      </c>
      <c r="O5" s="1">
        <v>276</v>
      </c>
      <c r="P5" s="1" t="s">
        <v>29</v>
      </c>
      <c r="Q5" s="1">
        <v>243</v>
      </c>
      <c r="R5" s="1" t="s">
        <v>25</v>
      </c>
      <c r="S5" s="1">
        <v>184</v>
      </c>
      <c r="T5" s="1" t="s">
        <v>27</v>
      </c>
      <c r="U5" s="1">
        <v>240</v>
      </c>
      <c r="V5" s="1" t="s">
        <v>32</v>
      </c>
      <c r="W5" s="1">
        <v>237</v>
      </c>
      <c r="X5" s="1" t="s">
        <v>30</v>
      </c>
      <c r="Y5" s="1">
        <v>190</v>
      </c>
      <c r="Z5" s="1" t="s">
        <v>33</v>
      </c>
      <c r="AA5" s="1">
        <v>50</v>
      </c>
      <c r="AB5" s="1" t="s">
        <v>26</v>
      </c>
      <c r="AC5" s="1">
        <v>175</v>
      </c>
      <c r="AD5" s="1" t="s">
        <v>30</v>
      </c>
      <c r="AE5" s="1">
        <v>209</v>
      </c>
      <c r="AF5" s="1" t="s">
        <v>33</v>
      </c>
      <c r="AG5" s="1">
        <v>182</v>
      </c>
    </row>
    <row r="6" spans="1:33" x14ac:dyDescent="0.3">
      <c r="A6" s="1"/>
      <c r="B6" s="1" t="s">
        <v>28</v>
      </c>
      <c r="C6" s="1">
        <v>195</v>
      </c>
      <c r="D6" s="1" t="s">
        <v>46</v>
      </c>
      <c r="E6" s="1">
        <v>292</v>
      </c>
      <c r="F6" s="1" t="s">
        <v>32</v>
      </c>
      <c r="G6" s="1">
        <v>178</v>
      </c>
      <c r="H6" s="1" t="s">
        <v>30</v>
      </c>
      <c r="I6" s="1">
        <v>138</v>
      </c>
      <c r="J6" s="1" t="s">
        <v>31</v>
      </c>
      <c r="K6" s="1">
        <v>172</v>
      </c>
      <c r="L6" s="1" t="s">
        <v>29</v>
      </c>
      <c r="M6" s="1">
        <v>226</v>
      </c>
      <c r="N6" s="1" t="s">
        <v>32</v>
      </c>
      <c r="O6" s="1">
        <v>138</v>
      </c>
      <c r="P6" s="1" t="s">
        <v>28</v>
      </c>
      <c r="Q6" s="1">
        <v>209</v>
      </c>
      <c r="R6" s="1" t="s">
        <v>28</v>
      </c>
      <c r="S6" s="1">
        <v>182</v>
      </c>
      <c r="T6" s="1" t="s">
        <v>25</v>
      </c>
      <c r="U6" s="1">
        <v>239</v>
      </c>
      <c r="V6" s="1" t="s">
        <v>26</v>
      </c>
      <c r="W6" s="1">
        <v>165</v>
      </c>
      <c r="X6" s="1" t="s">
        <v>28</v>
      </c>
      <c r="Y6" s="1">
        <v>184</v>
      </c>
      <c r="Z6" s="1" t="s">
        <v>28</v>
      </c>
      <c r="AA6" s="1">
        <v>153</v>
      </c>
      <c r="AB6" s="1" t="s">
        <v>31</v>
      </c>
      <c r="AC6" s="1">
        <v>170</v>
      </c>
      <c r="AD6" s="1" t="s">
        <v>27</v>
      </c>
      <c r="AE6" s="1">
        <v>151</v>
      </c>
      <c r="AF6" s="1" t="s">
        <v>25</v>
      </c>
      <c r="AG6" s="1">
        <v>160</v>
      </c>
    </row>
    <row r="7" spans="1:33" x14ac:dyDescent="0.3">
      <c r="A7" s="1"/>
      <c r="B7" s="1" t="s">
        <v>29</v>
      </c>
      <c r="C7" s="1">
        <v>173</v>
      </c>
      <c r="D7" s="1" t="s">
        <v>47</v>
      </c>
      <c r="E7" s="1">
        <v>265</v>
      </c>
      <c r="F7" s="1" t="s">
        <v>25</v>
      </c>
      <c r="G7" s="1">
        <v>177</v>
      </c>
      <c r="H7" s="1" t="s">
        <v>32</v>
      </c>
      <c r="I7" s="1">
        <v>129</v>
      </c>
      <c r="J7" s="1" t="s">
        <v>29</v>
      </c>
      <c r="K7" s="1">
        <v>126</v>
      </c>
      <c r="L7" s="1" t="s">
        <v>27</v>
      </c>
      <c r="M7" s="1">
        <v>179</v>
      </c>
      <c r="N7" s="1" t="s">
        <v>29</v>
      </c>
      <c r="O7" s="1">
        <v>99</v>
      </c>
      <c r="P7" s="1" t="s">
        <v>30</v>
      </c>
      <c r="Q7" s="1">
        <v>132</v>
      </c>
      <c r="R7" s="1" t="s">
        <v>36</v>
      </c>
      <c r="S7" s="1">
        <v>150</v>
      </c>
      <c r="T7" s="1" t="s">
        <v>28</v>
      </c>
      <c r="U7" s="1">
        <v>190</v>
      </c>
      <c r="V7" s="1" t="s">
        <v>27</v>
      </c>
      <c r="W7" s="1">
        <v>164</v>
      </c>
      <c r="X7" s="1" t="s">
        <v>40</v>
      </c>
      <c r="Y7" s="1">
        <v>172</v>
      </c>
      <c r="Z7" s="1" t="s">
        <v>25</v>
      </c>
      <c r="AA7" s="1">
        <v>83</v>
      </c>
      <c r="AB7" s="1" t="s">
        <v>29</v>
      </c>
      <c r="AC7" s="1">
        <v>140</v>
      </c>
      <c r="AD7" s="1" t="s">
        <v>36</v>
      </c>
      <c r="AE7" s="1">
        <v>145</v>
      </c>
      <c r="AF7" s="1" t="s">
        <v>31</v>
      </c>
      <c r="AG7" s="1">
        <v>129</v>
      </c>
    </row>
    <row r="8" spans="1:33" x14ac:dyDescent="0.3">
      <c r="A8" s="1"/>
      <c r="B8" s="1" t="s">
        <v>30</v>
      </c>
      <c r="C8" s="1">
        <v>130</v>
      </c>
      <c r="D8" s="1" t="s">
        <v>48</v>
      </c>
      <c r="E8" s="1">
        <v>236</v>
      </c>
      <c r="F8" s="1" t="s">
        <v>28</v>
      </c>
      <c r="G8" s="1">
        <v>135</v>
      </c>
      <c r="H8" s="1" t="s">
        <v>27</v>
      </c>
      <c r="I8" s="1">
        <v>125</v>
      </c>
      <c r="J8" s="1" t="s">
        <v>27</v>
      </c>
      <c r="K8" s="1">
        <v>118</v>
      </c>
      <c r="L8" s="1" t="s">
        <v>32</v>
      </c>
      <c r="M8" s="1">
        <v>179</v>
      </c>
      <c r="N8" s="1" t="s">
        <v>35</v>
      </c>
      <c r="O8" s="1">
        <v>92</v>
      </c>
      <c r="P8" s="1" t="s">
        <v>31</v>
      </c>
      <c r="Q8" s="1">
        <v>106</v>
      </c>
      <c r="R8" s="1" t="s">
        <v>35</v>
      </c>
      <c r="S8" s="1">
        <v>117</v>
      </c>
      <c r="T8" s="1" t="s">
        <v>29</v>
      </c>
      <c r="U8" s="1">
        <v>189</v>
      </c>
      <c r="V8" s="1" t="s">
        <v>29</v>
      </c>
      <c r="W8" s="1">
        <v>162</v>
      </c>
      <c r="X8" s="1" t="s">
        <v>27</v>
      </c>
      <c r="Y8" s="1">
        <v>132</v>
      </c>
      <c r="Z8" s="1" t="s">
        <v>34</v>
      </c>
      <c r="AA8" s="1">
        <v>25</v>
      </c>
      <c r="AB8" s="1" t="s">
        <v>30</v>
      </c>
      <c r="AC8" s="1">
        <v>128</v>
      </c>
      <c r="AD8" s="1" t="s">
        <v>29</v>
      </c>
      <c r="AE8" s="1">
        <v>128</v>
      </c>
      <c r="AF8" s="1" t="s">
        <v>29</v>
      </c>
      <c r="AG8" s="1">
        <v>117</v>
      </c>
    </row>
    <row r="9" spans="1:33" x14ac:dyDescent="0.3">
      <c r="A9" s="1"/>
      <c r="B9" s="1" t="s">
        <v>31</v>
      </c>
      <c r="C9" s="1">
        <v>118</v>
      </c>
      <c r="D9" s="1" t="s">
        <v>49</v>
      </c>
      <c r="E9" s="1">
        <v>225</v>
      </c>
      <c r="F9" s="1" t="s">
        <v>33</v>
      </c>
      <c r="G9" s="1">
        <v>109</v>
      </c>
      <c r="H9" s="1" t="s">
        <v>36</v>
      </c>
      <c r="I9" s="1">
        <v>121</v>
      </c>
      <c r="J9" s="1" t="s">
        <v>28</v>
      </c>
      <c r="K9" s="1">
        <v>92</v>
      </c>
      <c r="L9" s="1" t="s">
        <v>30</v>
      </c>
      <c r="M9" s="1">
        <v>173</v>
      </c>
      <c r="N9" s="1" t="s">
        <v>31</v>
      </c>
      <c r="O9" s="1">
        <v>92</v>
      </c>
      <c r="P9" s="1" t="s">
        <v>35</v>
      </c>
      <c r="Q9" s="1">
        <v>88</v>
      </c>
      <c r="R9" s="1" t="s">
        <v>27</v>
      </c>
      <c r="S9" s="1">
        <v>118</v>
      </c>
      <c r="T9" s="1" t="s">
        <v>33</v>
      </c>
      <c r="U9" s="1">
        <v>163</v>
      </c>
      <c r="V9" s="1" t="s">
        <v>36</v>
      </c>
      <c r="W9" s="1">
        <v>140</v>
      </c>
      <c r="X9" s="1" t="s">
        <v>38</v>
      </c>
      <c r="Y9" s="1">
        <v>120</v>
      </c>
      <c r="Z9" s="1" t="s">
        <v>31</v>
      </c>
      <c r="AA9" s="1">
        <v>69</v>
      </c>
      <c r="AB9" s="1" t="s">
        <v>38</v>
      </c>
      <c r="AC9" s="1">
        <v>116</v>
      </c>
      <c r="AD9" s="1" t="s">
        <v>26</v>
      </c>
      <c r="AE9" s="1">
        <v>115</v>
      </c>
      <c r="AF9" s="1" t="s">
        <v>27</v>
      </c>
      <c r="AG9" s="1">
        <v>117</v>
      </c>
    </row>
    <row r="10" spans="1:33" x14ac:dyDescent="0.3">
      <c r="A10" s="1"/>
      <c r="B10" s="1" t="s">
        <v>32</v>
      </c>
      <c r="C10" s="1">
        <v>107</v>
      </c>
      <c r="D10" s="1" t="s">
        <v>50</v>
      </c>
      <c r="E10" s="1">
        <v>206</v>
      </c>
      <c r="F10" s="1" t="s">
        <v>29</v>
      </c>
      <c r="G10" s="1">
        <v>81</v>
      </c>
      <c r="H10" s="1" t="s">
        <v>26</v>
      </c>
      <c r="I10" s="1">
        <v>103</v>
      </c>
      <c r="J10" s="1" t="s">
        <v>36</v>
      </c>
      <c r="K10" s="1">
        <v>83</v>
      </c>
      <c r="L10" s="1" t="s">
        <v>33</v>
      </c>
      <c r="M10" s="1">
        <v>138</v>
      </c>
      <c r="N10" s="1" t="s">
        <v>27</v>
      </c>
      <c r="O10" s="1">
        <v>91</v>
      </c>
      <c r="P10" s="1" t="s">
        <v>32</v>
      </c>
      <c r="Q10" s="1">
        <v>63</v>
      </c>
      <c r="R10" s="1" t="s">
        <v>29</v>
      </c>
      <c r="S10" s="1">
        <v>77</v>
      </c>
      <c r="T10" s="1" t="s">
        <v>31</v>
      </c>
      <c r="U10" s="1">
        <v>161</v>
      </c>
      <c r="V10" s="1" t="s">
        <v>30</v>
      </c>
      <c r="W10" s="1">
        <v>109</v>
      </c>
      <c r="X10" s="1" t="s">
        <v>35</v>
      </c>
      <c r="Y10" s="1">
        <v>76</v>
      </c>
      <c r="Z10" s="1" t="s">
        <v>27</v>
      </c>
      <c r="AA10" s="1">
        <v>73</v>
      </c>
      <c r="AB10" s="1" t="s">
        <v>27</v>
      </c>
      <c r="AC10" s="1">
        <v>110</v>
      </c>
      <c r="AD10" s="1" t="s">
        <v>31</v>
      </c>
      <c r="AE10" s="1">
        <v>113</v>
      </c>
      <c r="AF10" s="1" t="s">
        <v>36</v>
      </c>
      <c r="AG10" s="1">
        <v>93</v>
      </c>
    </row>
    <row r="11" spans="1:33" x14ac:dyDescent="0.3">
      <c r="A11" s="1"/>
      <c r="B11" s="1" t="s">
        <v>33</v>
      </c>
      <c r="C11" s="1">
        <v>91</v>
      </c>
      <c r="D11" s="1" t="s">
        <v>51</v>
      </c>
      <c r="E11" s="1">
        <v>168</v>
      </c>
      <c r="F11" s="1" t="s">
        <v>35</v>
      </c>
      <c r="G11" s="1">
        <v>47</v>
      </c>
      <c r="H11" s="1" t="s">
        <v>38</v>
      </c>
      <c r="I11" s="1">
        <v>97</v>
      </c>
      <c r="J11" s="1" t="s">
        <v>33</v>
      </c>
      <c r="K11" s="1">
        <v>83</v>
      </c>
      <c r="L11" s="1" t="s">
        <v>31</v>
      </c>
      <c r="M11" s="1">
        <v>80</v>
      </c>
      <c r="N11" s="1" t="s">
        <v>30</v>
      </c>
      <c r="O11" s="1">
        <v>79</v>
      </c>
      <c r="P11" s="1" t="s">
        <v>27</v>
      </c>
      <c r="Q11" s="1">
        <v>55</v>
      </c>
      <c r="R11" s="1" t="s">
        <v>34</v>
      </c>
      <c r="S11" s="1">
        <v>70</v>
      </c>
      <c r="T11" s="1" t="s">
        <v>35</v>
      </c>
      <c r="U11" s="1">
        <v>132</v>
      </c>
      <c r="V11" s="1" t="s">
        <v>31</v>
      </c>
      <c r="W11" s="1">
        <v>99</v>
      </c>
      <c r="X11" s="1" t="s">
        <v>31</v>
      </c>
      <c r="Y11" s="1">
        <v>79</v>
      </c>
      <c r="Z11" s="1" t="s">
        <v>30</v>
      </c>
      <c r="AA11" s="1">
        <v>111</v>
      </c>
      <c r="AB11" s="1" t="s">
        <v>33</v>
      </c>
      <c r="AC11" s="1">
        <v>95</v>
      </c>
      <c r="AD11" s="1" t="s">
        <v>33</v>
      </c>
      <c r="AE11" s="1">
        <v>111</v>
      </c>
      <c r="AF11" s="1" t="s">
        <v>34</v>
      </c>
      <c r="AG11" s="1">
        <v>62</v>
      </c>
    </row>
    <row r="12" spans="1:33" x14ac:dyDescent="0.3">
      <c r="A12" s="1"/>
      <c r="B12" s="1" t="s">
        <v>34</v>
      </c>
      <c r="C12" s="1">
        <v>89</v>
      </c>
      <c r="D12" s="1" t="s">
        <v>52</v>
      </c>
      <c r="E12" s="1">
        <v>139</v>
      </c>
      <c r="F12" s="1" t="s">
        <v>64</v>
      </c>
      <c r="G12" s="1">
        <v>32</v>
      </c>
      <c r="H12" s="1" t="s">
        <v>29</v>
      </c>
      <c r="I12" s="1">
        <v>144</v>
      </c>
      <c r="J12" s="1" t="s">
        <v>32</v>
      </c>
      <c r="K12" s="1">
        <v>68</v>
      </c>
      <c r="L12" s="1" t="s">
        <v>36</v>
      </c>
      <c r="M12" s="1">
        <v>55</v>
      </c>
      <c r="N12" s="1" t="s">
        <v>33</v>
      </c>
      <c r="O12" s="1">
        <v>67</v>
      </c>
      <c r="P12" s="1" t="s">
        <v>34</v>
      </c>
      <c r="Q12" s="1">
        <v>57</v>
      </c>
      <c r="R12" s="1" t="s">
        <v>32</v>
      </c>
      <c r="S12" s="1">
        <v>53</v>
      </c>
      <c r="T12" s="1" t="s">
        <v>37</v>
      </c>
      <c r="U12" s="1">
        <v>45</v>
      </c>
      <c r="V12" s="1" t="s">
        <v>37</v>
      </c>
      <c r="W12" s="1">
        <v>45</v>
      </c>
      <c r="X12" s="1" t="s">
        <v>29</v>
      </c>
      <c r="Y12" s="1">
        <v>69</v>
      </c>
      <c r="Z12" s="1" t="s">
        <v>26</v>
      </c>
      <c r="AA12" s="1">
        <v>130</v>
      </c>
      <c r="AB12" s="1" t="s">
        <v>35</v>
      </c>
      <c r="AC12" s="1">
        <v>82</v>
      </c>
      <c r="AD12" s="1" t="s">
        <v>39</v>
      </c>
      <c r="AE12" s="1">
        <v>83</v>
      </c>
      <c r="AF12" s="1" t="s">
        <v>39</v>
      </c>
      <c r="AG12" s="1">
        <v>62</v>
      </c>
    </row>
    <row r="13" spans="1:33" x14ac:dyDescent="0.3">
      <c r="A13" s="1"/>
      <c r="B13" s="1" t="s">
        <v>35</v>
      </c>
      <c r="C13" s="1">
        <v>86</v>
      </c>
      <c r="D13" s="1" t="s">
        <v>53</v>
      </c>
      <c r="E13" s="1">
        <v>119</v>
      </c>
      <c r="F13" s="1" t="s">
        <v>30</v>
      </c>
      <c r="G13" s="1">
        <v>21</v>
      </c>
      <c r="H13" s="1" t="s">
        <v>35</v>
      </c>
      <c r="I13" s="1">
        <v>70</v>
      </c>
      <c r="J13" s="1" t="s">
        <v>65</v>
      </c>
      <c r="K13" s="1">
        <v>65</v>
      </c>
      <c r="L13" s="1" t="s">
        <v>38</v>
      </c>
      <c r="M13" s="1">
        <v>58</v>
      </c>
      <c r="N13" s="1" t="s">
        <v>36</v>
      </c>
      <c r="O13" s="1">
        <v>61</v>
      </c>
      <c r="P13" s="1" t="s">
        <v>41</v>
      </c>
      <c r="Q13" s="1">
        <v>36</v>
      </c>
      <c r="R13" s="1" t="s">
        <v>33</v>
      </c>
      <c r="S13" s="1">
        <v>42</v>
      </c>
      <c r="T13" s="1" t="s">
        <v>39</v>
      </c>
      <c r="U13" s="1">
        <v>23</v>
      </c>
      <c r="V13" s="1" t="s">
        <v>33</v>
      </c>
      <c r="W13" s="1">
        <v>41</v>
      </c>
      <c r="X13" s="1" t="s">
        <v>36</v>
      </c>
      <c r="Y13" s="1">
        <v>42</v>
      </c>
      <c r="Z13" s="1" t="s">
        <v>36</v>
      </c>
      <c r="AA13" s="1">
        <v>19</v>
      </c>
      <c r="AB13" s="1" t="s">
        <v>39</v>
      </c>
      <c r="AC13" s="1">
        <v>80</v>
      </c>
      <c r="AD13" s="1" t="s">
        <v>32</v>
      </c>
      <c r="AE13" s="1">
        <v>60</v>
      </c>
      <c r="AF13" s="1" t="s">
        <v>30</v>
      </c>
      <c r="AG13" s="1">
        <v>49</v>
      </c>
    </row>
    <row r="14" spans="1:33" x14ac:dyDescent="0.3">
      <c r="A14" s="1"/>
      <c r="B14" s="1" t="s">
        <v>36</v>
      </c>
      <c r="C14" s="1">
        <v>76</v>
      </c>
      <c r="D14" s="1" t="s">
        <v>54</v>
      </c>
      <c r="E14" s="1">
        <v>110</v>
      </c>
      <c r="F14" s="1" t="s">
        <v>40</v>
      </c>
      <c r="G14" s="1">
        <v>15</v>
      </c>
      <c r="H14" s="1" t="s">
        <v>33</v>
      </c>
      <c r="I14" s="1">
        <v>57</v>
      </c>
      <c r="J14" s="1" t="s">
        <v>38</v>
      </c>
      <c r="K14" s="1">
        <v>58</v>
      </c>
      <c r="L14" s="1" t="s">
        <v>39</v>
      </c>
      <c r="M14" s="1">
        <v>47</v>
      </c>
      <c r="N14" s="1" t="s">
        <v>34</v>
      </c>
      <c r="O14" s="1">
        <v>48</v>
      </c>
      <c r="P14" s="1" t="s">
        <v>36</v>
      </c>
      <c r="Q14" s="1">
        <v>25</v>
      </c>
      <c r="R14" s="1" t="s">
        <v>40</v>
      </c>
      <c r="S14" s="1">
        <v>37</v>
      </c>
      <c r="T14" s="1" t="s">
        <v>42</v>
      </c>
      <c r="U14" s="1">
        <v>22</v>
      </c>
      <c r="V14" s="1" t="s">
        <v>35</v>
      </c>
      <c r="W14" s="1">
        <v>41</v>
      </c>
      <c r="X14" s="1" t="s">
        <v>32</v>
      </c>
      <c r="Y14" s="1">
        <v>41</v>
      </c>
      <c r="Z14" s="1" t="s">
        <v>32</v>
      </c>
      <c r="AA14" s="1">
        <v>64</v>
      </c>
      <c r="AB14" s="1" t="s">
        <v>34</v>
      </c>
      <c r="AC14" s="1">
        <v>72</v>
      </c>
      <c r="AD14" s="1" t="s">
        <v>35</v>
      </c>
      <c r="AE14" s="1">
        <v>51</v>
      </c>
      <c r="AF14" s="1" t="s">
        <v>32</v>
      </c>
      <c r="AG14" s="1">
        <v>45</v>
      </c>
    </row>
    <row r="15" spans="1:33" x14ac:dyDescent="0.3">
      <c r="A15" s="1"/>
      <c r="B15" s="1" t="s">
        <v>37</v>
      </c>
      <c r="C15" s="1">
        <v>47</v>
      </c>
      <c r="D15" s="1" t="s">
        <v>55</v>
      </c>
      <c r="E15" s="1">
        <v>109</v>
      </c>
      <c r="F15" s="1" t="s">
        <v>38</v>
      </c>
      <c r="G15" s="1">
        <v>12</v>
      </c>
      <c r="H15" s="1" t="s">
        <v>41</v>
      </c>
      <c r="I15" s="1">
        <v>38</v>
      </c>
      <c r="J15" s="1" t="s">
        <v>34</v>
      </c>
      <c r="K15" s="1">
        <v>50</v>
      </c>
      <c r="L15" s="1" t="s">
        <v>34</v>
      </c>
      <c r="M15" s="1">
        <v>46</v>
      </c>
      <c r="N15" s="1" t="s">
        <v>38</v>
      </c>
      <c r="O15" s="1">
        <v>35</v>
      </c>
      <c r="P15" s="1" t="s">
        <v>38</v>
      </c>
      <c r="Q15" s="1">
        <v>25</v>
      </c>
      <c r="R15" s="1" t="s">
        <v>31</v>
      </c>
      <c r="S15" s="1">
        <v>36</v>
      </c>
      <c r="T15" s="1" t="s">
        <v>38</v>
      </c>
      <c r="U15" s="1">
        <v>18</v>
      </c>
      <c r="V15" s="1" t="s">
        <v>38</v>
      </c>
      <c r="W15" s="1">
        <v>26</v>
      </c>
      <c r="X15" s="1" t="s">
        <v>33</v>
      </c>
      <c r="Y15" s="1">
        <v>28</v>
      </c>
      <c r="Z15" s="1" t="s">
        <v>64</v>
      </c>
      <c r="AA15" s="1">
        <v>1</v>
      </c>
      <c r="AB15" s="1" t="s">
        <v>36</v>
      </c>
      <c r="AC15" s="1">
        <v>62</v>
      </c>
      <c r="AD15" s="1" t="s">
        <v>34</v>
      </c>
      <c r="AE15" s="1">
        <v>20</v>
      </c>
      <c r="AF15" s="1" t="s">
        <v>40</v>
      </c>
      <c r="AG15" s="1">
        <v>31</v>
      </c>
    </row>
    <row r="16" spans="1:33" x14ac:dyDescent="0.3">
      <c r="A16" s="1"/>
      <c r="B16" s="1" t="s">
        <v>38</v>
      </c>
      <c r="C16" s="1">
        <v>45</v>
      </c>
      <c r="D16" s="1" t="s">
        <v>56</v>
      </c>
      <c r="E16" s="1">
        <v>65</v>
      </c>
      <c r="F16" s="1" t="s">
        <v>42</v>
      </c>
      <c r="G16" s="1">
        <v>12</v>
      </c>
      <c r="H16" s="1" t="s">
        <v>42</v>
      </c>
      <c r="I16" s="1">
        <v>37</v>
      </c>
      <c r="J16" s="1" t="s">
        <v>41</v>
      </c>
      <c r="K16" s="1">
        <v>20</v>
      </c>
      <c r="L16" s="1" t="s">
        <v>35</v>
      </c>
      <c r="M16" s="1">
        <v>18</v>
      </c>
      <c r="N16" s="1" t="s">
        <v>37</v>
      </c>
      <c r="O16" s="1">
        <v>19</v>
      </c>
      <c r="P16" s="1" t="s">
        <v>39</v>
      </c>
      <c r="Q16" s="1">
        <v>20</v>
      </c>
      <c r="R16" s="1" t="s">
        <v>67</v>
      </c>
      <c r="S16" s="1">
        <v>14</v>
      </c>
      <c r="T16" s="1" t="s">
        <v>32</v>
      </c>
      <c r="U16" s="1">
        <v>16</v>
      </c>
      <c r="V16" s="1" t="s">
        <v>34</v>
      </c>
      <c r="W16" s="1">
        <v>19</v>
      </c>
      <c r="X16" s="1" t="s">
        <v>41</v>
      </c>
      <c r="Y16" s="1">
        <v>14</v>
      </c>
      <c r="Z16" s="1" t="s">
        <v>39</v>
      </c>
      <c r="AA16" s="1">
        <v>1</v>
      </c>
      <c r="AB16" s="1" t="s">
        <v>37</v>
      </c>
      <c r="AC16" s="1">
        <v>39</v>
      </c>
      <c r="AD16" s="1" t="s">
        <v>41</v>
      </c>
      <c r="AE16" s="1">
        <v>20</v>
      </c>
      <c r="AF16" s="1" t="s">
        <v>37</v>
      </c>
      <c r="AG16" s="1">
        <v>27</v>
      </c>
    </row>
    <row r="17" spans="1:33" x14ac:dyDescent="0.3">
      <c r="A17" s="1"/>
      <c r="B17" s="1" t="s">
        <v>39</v>
      </c>
      <c r="C17" s="1">
        <v>38</v>
      </c>
      <c r="D17" s="1" t="s">
        <v>57</v>
      </c>
      <c r="E17" s="1">
        <v>51</v>
      </c>
      <c r="F17" s="1" t="s">
        <v>41</v>
      </c>
      <c r="G17" s="1">
        <v>3</v>
      </c>
      <c r="H17" s="1" t="s">
        <v>34</v>
      </c>
      <c r="I17" s="1">
        <v>32</v>
      </c>
      <c r="J17" s="1" t="s">
        <v>42</v>
      </c>
      <c r="K17" s="1">
        <v>19</v>
      </c>
      <c r="L17" s="1" t="s">
        <v>37</v>
      </c>
      <c r="M17" s="1">
        <v>11</v>
      </c>
      <c r="N17" s="1" t="s">
        <v>67</v>
      </c>
      <c r="O17" s="1">
        <v>16</v>
      </c>
      <c r="P17" s="1" t="s">
        <v>42</v>
      </c>
      <c r="Q17" s="1">
        <v>9</v>
      </c>
      <c r="R17" s="1" t="s">
        <v>65</v>
      </c>
      <c r="S17" s="1">
        <v>13</v>
      </c>
      <c r="T17" s="1" t="s">
        <v>34</v>
      </c>
      <c r="U17" s="1">
        <v>14</v>
      </c>
      <c r="V17" s="1" t="s">
        <v>40</v>
      </c>
      <c r="W17" s="1">
        <v>10</v>
      </c>
      <c r="X17" s="1" t="s">
        <v>67</v>
      </c>
      <c r="Y17" s="1">
        <v>13</v>
      </c>
      <c r="Z17" s="1" t="s">
        <v>35</v>
      </c>
      <c r="AA17" s="1">
        <v>30</v>
      </c>
      <c r="AB17" s="1" t="s">
        <v>32</v>
      </c>
      <c r="AC17" s="1">
        <v>26</v>
      </c>
      <c r="AD17" s="1" t="s">
        <v>68</v>
      </c>
      <c r="AE17" s="1">
        <v>16</v>
      </c>
      <c r="AF17" s="1" t="s">
        <v>35</v>
      </c>
      <c r="AG17" s="1">
        <v>20</v>
      </c>
    </row>
    <row r="18" spans="1:33" x14ac:dyDescent="0.3">
      <c r="A18" s="1"/>
      <c r="B18" s="1" t="s">
        <v>40</v>
      </c>
      <c r="C18" s="1">
        <v>22</v>
      </c>
      <c r="D18" s="1" t="s">
        <v>58</v>
      </c>
      <c r="E18" s="1">
        <v>30</v>
      </c>
      <c r="F18" s="1"/>
      <c r="G18" s="1"/>
      <c r="H18" s="1" t="s">
        <v>37</v>
      </c>
      <c r="I18" s="1">
        <v>17</v>
      </c>
      <c r="J18" s="1" t="s">
        <v>30</v>
      </c>
      <c r="K18" s="1">
        <v>18</v>
      </c>
      <c r="L18" s="1" t="s">
        <v>42</v>
      </c>
      <c r="M18" s="1">
        <v>3</v>
      </c>
      <c r="N18" s="1" t="s">
        <v>42</v>
      </c>
      <c r="O18" s="1">
        <v>13</v>
      </c>
      <c r="P18" s="1" t="s">
        <v>37</v>
      </c>
      <c r="Q18" s="1">
        <v>3</v>
      </c>
      <c r="R18" s="1" t="s">
        <v>37</v>
      </c>
      <c r="S18" s="1">
        <v>8</v>
      </c>
      <c r="T18" s="1" t="s">
        <v>64</v>
      </c>
      <c r="U18" s="1">
        <v>11</v>
      </c>
      <c r="V18" s="1" t="s">
        <v>64</v>
      </c>
      <c r="W18" s="1">
        <v>8</v>
      </c>
      <c r="X18" s="1" t="s">
        <v>34</v>
      </c>
      <c r="Y18" s="1">
        <v>6</v>
      </c>
      <c r="Z18" s="1" t="s">
        <v>40</v>
      </c>
      <c r="AA18" s="1">
        <v>6</v>
      </c>
      <c r="AB18" s="1" t="s">
        <v>67</v>
      </c>
      <c r="AC18" s="1">
        <v>25</v>
      </c>
      <c r="AD18" s="1" t="s">
        <v>37</v>
      </c>
      <c r="AE18" s="1">
        <v>14</v>
      </c>
      <c r="AF18" s="1" t="s">
        <v>41</v>
      </c>
      <c r="AG18" s="1">
        <v>20</v>
      </c>
    </row>
    <row r="19" spans="1:33" x14ac:dyDescent="0.3">
      <c r="A19" s="1"/>
      <c r="B19" s="1" t="s">
        <v>41</v>
      </c>
      <c r="C19" s="1">
        <v>20</v>
      </c>
      <c r="D19" s="1" t="s">
        <v>59</v>
      </c>
      <c r="E19" s="1">
        <v>25</v>
      </c>
      <c r="F19" s="1"/>
      <c r="G19" s="1"/>
      <c r="H19" s="1" t="s">
        <v>40</v>
      </c>
      <c r="I19" s="1">
        <v>6</v>
      </c>
      <c r="J19" s="1" t="s">
        <v>37</v>
      </c>
      <c r="K19" s="1">
        <v>14</v>
      </c>
      <c r="L19" s="1" t="s">
        <v>40</v>
      </c>
      <c r="M19" s="1">
        <v>2</v>
      </c>
      <c r="N19" s="1" t="s">
        <v>41</v>
      </c>
      <c r="O19" s="1">
        <v>10</v>
      </c>
      <c r="P19" s="1" t="s">
        <v>33</v>
      </c>
      <c r="Q19" s="1">
        <v>2</v>
      </c>
      <c r="R19" s="1" t="s">
        <v>64</v>
      </c>
      <c r="S19" s="1">
        <v>4</v>
      </c>
      <c r="T19" s="1" t="s">
        <v>36</v>
      </c>
      <c r="U19" s="1">
        <v>11</v>
      </c>
      <c r="V19" s="1" t="s">
        <v>41</v>
      </c>
      <c r="W19" s="1">
        <v>4</v>
      </c>
      <c r="X19" s="1" t="s">
        <v>37</v>
      </c>
      <c r="Y19" s="1">
        <v>3</v>
      </c>
      <c r="Z19" s="1" t="s">
        <v>38</v>
      </c>
      <c r="AA19" s="1">
        <v>9</v>
      </c>
      <c r="AB19" s="1" t="s">
        <v>40</v>
      </c>
      <c r="AC19" s="1">
        <v>24</v>
      </c>
      <c r="AD19" s="1" t="s">
        <v>40</v>
      </c>
      <c r="AE19" s="1">
        <v>12</v>
      </c>
      <c r="AF19" s="1" t="s">
        <v>75</v>
      </c>
      <c r="AG19" s="1">
        <v>10</v>
      </c>
    </row>
    <row r="20" spans="1:33" x14ac:dyDescent="0.3">
      <c r="A20" s="1"/>
      <c r="B20" s="1" t="s">
        <v>42</v>
      </c>
      <c r="C20" s="1">
        <v>2</v>
      </c>
      <c r="D20" s="1" t="s">
        <v>60</v>
      </c>
      <c r="E20" s="1">
        <v>3</v>
      </c>
      <c r="F20" s="1"/>
      <c r="G20" s="1"/>
      <c r="H20" s="1" t="s">
        <v>64</v>
      </c>
      <c r="I20" s="1">
        <v>4</v>
      </c>
      <c r="J20" s="1" t="s">
        <v>39</v>
      </c>
      <c r="K20" s="1">
        <v>10</v>
      </c>
      <c r="L20" s="1" t="s">
        <v>41</v>
      </c>
      <c r="M20" s="1">
        <v>1</v>
      </c>
      <c r="N20" s="1" t="s">
        <v>68</v>
      </c>
      <c r="O20" s="1">
        <v>10</v>
      </c>
      <c r="P20" s="1" t="s">
        <v>69</v>
      </c>
      <c r="Q20" s="1">
        <v>1</v>
      </c>
      <c r="R20" s="1" t="s">
        <v>70</v>
      </c>
      <c r="S20" s="1">
        <v>3</v>
      </c>
      <c r="T20" s="1" t="s">
        <v>72</v>
      </c>
      <c r="U20" s="1">
        <v>8</v>
      </c>
      <c r="V20" s="1" t="s">
        <v>73</v>
      </c>
      <c r="W20" s="1">
        <v>4</v>
      </c>
      <c r="X20" s="1"/>
      <c r="Y20" s="1"/>
      <c r="Z20" s="1"/>
      <c r="AA20" s="1"/>
      <c r="AB20" s="1" t="s">
        <v>65</v>
      </c>
      <c r="AC20" s="1">
        <v>18</v>
      </c>
      <c r="AD20" s="1" t="s">
        <v>42</v>
      </c>
      <c r="AE20" s="1">
        <v>10</v>
      </c>
      <c r="AF20" s="1" t="s">
        <v>38</v>
      </c>
      <c r="AG20" s="1">
        <v>8</v>
      </c>
    </row>
    <row r="21" spans="1:33" x14ac:dyDescent="0.3">
      <c r="A21" s="1"/>
      <c r="B21" s="1"/>
      <c r="C21" s="1"/>
      <c r="D21" s="1" t="s">
        <v>61</v>
      </c>
      <c r="E21" s="1">
        <v>0</v>
      </c>
      <c r="F21" s="1"/>
      <c r="G21" s="1"/>
      <c r="H21" s="1" t="s">
        <v>39</v>
      </c>
      <c r="I21" s="1">
        <v>3</v>
      </c>
      <c r="J21" s="1" t="s">
        <v>66</v>
      </c>
      <c r="K21" s="1">
        <v>4</v>
      </c>
      <c r="L21" s="1"/>
      <c r="M21" s="1"/>
      <c r="N21" s="1" t="s">
        <v>39</v>
      </c>
      <c r="O21" s="1">
        <v>9</v>
      </c>
      <c r="P21" s="1" t="s">
        <v>64</v>
      </c>
      <c r="Q21" s="1">
        <v>1</v>
      </c>
      <c r="R21" s="1" t="s">
        <v>71</v>
      </c>
      <c r="S21" s="1">
        <v>2</v>
      </c>
      <c r="T21" s="1" t="s">
        <v>40</v>
      </c>
      <c r="U21" s="1">
        <v>6</v>
      </c>
      <c r="V21" s="1" t="s">
        <v>39</v>
      </c>
      <c r="W21" s="1">
        <v>1</v>
      </c>
      <c r="X21" s="1"/>
      <c r="Y21" s="1"/>
      <c r="Z21" s="1"/>
      <c r="AA21" s="1"/>
      <c r="AB21" s="1" t="s">
        <v>41</v>
      </c>
      <c r="AC21" s="1">
        <v>15</v>
      </c>
      <c r="AD21" s="1" t="s">
        <v>67</v>
      </c>
      <c r="AE21" s="1">
        <v>5</v>
      </c>
      <c r="AF21" s="1" t="s">
        <v>42</v>
      </c>
      <c r="AG21" s="1">
        <v>2</v>
      </c>
    </row>
    <row r="22" spans="1:33" x14ac:dyDescent="0.3">
      <c r="A22" s="1"/>
      <c r="B22" s="1"/>
      <c r="C22" s="1"/>
      <c r="D22" s="1"/>
      <c r="E22" s="1"/>
      <c r="F22" s="1"/>
      <c r="G22" s="1"/>
      <c r="H22" s="1"/>
      <c r="I22" s="1"/>
      <c r="J22" s="1" t="s">
        <v>64</v>
      </c>
      <c r="K22" s="1">
        <v>1</v>
      </c>
      <c r="L22" s="1"/>
      <c r="M22" s="1"/>
      <c r="N22" s="1" t="s">
        <v>66</v>
      </c>
      <c r="O22" s="1">
        <v>2</v>
      </c>
      <c r="P22" s="1"/>
      <c r="Q22" s="1"/>
      <c r="R22" s="1" t="s">
        <v>38</v>
      </c>
      <c r="S22" s="1">
        <v>5</v>
      </c>
      <c r="T22" s="1" t="s">
        <v>67</v>
      </c>
      <c r="U22" s="1">
        <v>2</v>
      </c>
      <c r="V22" s="1"/>
      <c r="W22" s="1"/>
      <c r="X22" s="1"/>
      <c r="Y22" s="1"/>
      <c r="Z22" s="1"/>
      <c r="AA22" s="1"/>
      <c r="AB22" s="1" t="s">
        <v>64</v>
      </c>
      <c r="AC22" s="1">
        <v>12</v>
      </c>
      <c r="AD22" s="1" t="s">
        <v>74</v>
      </c>
      <c r="AE22" s="1">
        <v>6</v>
      </c>
      <c r="AF22" s="1" t="s">
        <v>70</v>
      </c>
      <c r="AG22" s="1">
        <v>1</v>
      </c>
    </row>
    <row r="23" spans="1:3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 t="s">
        <v>41</v>
      </c>
      <c r="U23" s="1">
        <v>1</v>
      </c>
      <c r="V23" s="1"/>
      <c r="W23" s="1"/>
      <c r="X23" s="1"/>
      <c r="Y23" s="1"/>
      <c r="Z23" s="1"/>
      <c r="AA23" s="1"/>
      <c r="AB23" s="1" t="s">
        <v>72</v>
      </c>
      <c r="AC23" s="1">
        <v>2</v>
      </c>
      <c r="AD23" s="1" t="s">
        <v>64</v>
      </c>
      <c r="AE23" s="1">
        <v>4</v>
      </c>
      <c r="AF23" s="1" t="s">
        <v>64</v>
      </c>
      <c r="AG23" s="1">
        <v>1</v>
      </c>
    </row>
    <row r="24" spans="1:3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 t="s">
        <v>66</v>
      </c>
      <c r="U24" s="1">
        <v>1</v>
      </c>
      <c r="V24" s="1"/>
      <c r="W24" s="1"/>
      <c r="X24" s="1"/>
      <c r="Y24" s="1"/>
      <c r="Z24" s="1"/>
      <c r="AA24" s="1"/>
      <c r="AB24" s="1"/>
      <c r="AC24" s="1"/>
      <c r="AD24" s="1" t="s">
        <v>38</v>
      </c>
      <c r="AE24" s="1">
        <v>3</v>
      </c>
      <c r="AF24" s="1"/>
      <c r="AG24" s="1"/>
    </row>
    <row r="25" spans="1:3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</sheetData>
  <mergeCells count="16">
    <mergeCell ref="L1:M1"/>
    <mergeCell ref="B1:C1"/>
    <mergeCell ref="D1:E1"/>
    <mergeCell ref="F1:G1"/>
    <mergeCell ref="H1:I1"/>
    <mergeCell ref="J1:K1"/>
    <mergeCell ref="Z1:AA1"/>
    <mergeCell ref="AB1:AC1"/>
    <mergeCell ref="AD1:AE1"/>
    <mergeCell ref="AF1:AG1"/>
    <mergeCell ref="N1:O1"/>
    <mergeCell ref="P1:Q1"/>
    <mergeCell ref="R1:S1"/>
    <mergeCell ref="T1:U1"/>
    <mergeCell ref="V1:W1"/>
    <mergeCell ref="X1:Y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BL</vt:lpstr>
      <vt:lpstr>Cajas nuevas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Jaime Pesca</cp:lastModifiedBy>
  <cp:revision/>
  <dcterms:created xsi:type="dcterms:W3CDTF">2025-12-13T18:01:29Z</dcterms:created>
  <dcterms:modified xsi:type="dcterms:W3CDTF">2026-07-24T15:31:13Z</dcterms:modified>
  <cp:category/>
  <cp:contentStatus/>
</cp:coreProperties>
</file>